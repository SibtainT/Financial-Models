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btain.tahir\Downloads\"/>
    </mc:Choice>
  </mc:AlternateContent>
  <xr:revisionPtr revIDLastSave="0" documentId="13_ncr:1_{23DD8AD1-B40E-43D7-8CB8-D594FC225B17}" xr6:coauthVersionLast="47" xr6:coauthVersionMax="47" xr10:uidLastSave="{00000000-0000-0000-0000-000000000000}"/>
  <bookViews>
    <workbookView xWindow="-108" yWindow="-108" windowWidth="23256" windowHeight="12456" tabRatio="500" activeTab="5" xr2:uid="{00000000-000D-0000-FFFF-FFFF00000000}"/>
  </bookViews>
  <sheets>
    <sheet name="Primary Scenario" sheetId="1" r:id="rId1"/>
    <sheet name="Interest – Months in Columns" sheetId="2" r:id="rId2"/>
    <sheet name="Interest – Months in Rows" sheetId="3" r:id="rId3"/>
    <sheet name="Sc-A DPI Interest Delayed" sheetId="4" r:id="rId4"/>
    <sheet name="Sc-B Total Invoice Delayed" sheetId="5" r:id="rId5"/>
    <sheet name="Sc-C Compound Interest" sheetId="6" r:id="rId6"/>
    <sheet name="Sc-D Rolling Accumulati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7" i="7" l="1"/>
  <c r="D4" i="7"/>
  <c r="F4" i="7" s="1"/>
  <c r="F18" i="6"/>
  <c r="E17" i="6"/>
  <c r="D16" i="6"/>
  <c r="C15" i="6"/>
  <c r="I13" i="6"/>
  <c r="G11" i="6"/>
  <c r="F10" i="6"/>
  <c r="E9" i="6"/>
  <c r="D8" i="6"/>
  <c r="C7" i="6"/>
  <c r="H4" i="6"/>
  <c r="C18" i="6" s="1"/>
  <c r="F21" i="5"/>
  <c r="F20" i="5"/>
  <c r="D20" i="5"/>
  <c r="G20" i="5" s="1"/>
  <c r="F19" i="5"/>
  <c r="E19" i="5"/>
  <c r="H19" i="5" s="1"/>
  <c r="D19" i="5"/>
  <c r="G19" i="5" s="1"/>
  <c r="D18" i="5"/>
  <c r="G18" i="5" s="1"/>
  <c r="C18" i="5"/>
  <c r="F17" i="5"/>
  <c r="F16" i="5"/>
  <c r="D16" i="5"/>
  <c r="G16" i="5" s="1"/>
  <c r="F15" i="5"/>
  <c r="E15" i="5"/>
  <c r="H15" i="5" s="1"/>
  <c r="D15" i="5"/>
  <c r="G15" i="5" s="1"/>
  <c r="D14" i="5"/>
  <c r="G14" i="5" s="1"/>
  <c r="C14" i="5"/>
  <c r="F13" i="5"/>
  <c r="F12" i="5"/>
  <c r="D12" i="5"/>
  <c r="G12" i="5" s="1"/>
  <c r="B9" i="5"/>
  <c r="E20" i="5" s="1"/>
  <c r="H20" i="5" s="1"/>
  <c r="B5" i="5"/>
  <c r="C19" i="5" s="1"/>
  <c r="B32" i="4"/>
  <c r="F31" i="4"/>
  <c r="E31" i="4"/>
  <c r="F30" i="4"/>
  <c r="E30" i="4"/>
  <c r="F29" i="4"/>
  <c r="E29" i="4"/>
  <c r="F28" i="4"/>
  <c r="E28" i="4"/>
  <c r="F27" i="4"/>
  <c r="E27" i="4"/>
  <c r="F26" i="4"/>
  <c r="E26" i="4"/>
  <c r="F25" i="4"/>
  <c r="E25" i="4"/>
  <c r="F24" i="4"/>
  <c r="E24" i="4"/>
  <c r="F23" i="4"/>
  <c r="E23" i="4"/>
  <c r="F22" i="4"/>
  <c r="E22" i="4"/>
  <c r="F21" i="4"/>
  <c r="E21" i="4"/>
  <c r="F20" i="4"/>
  <c r="E20" i="4"/>
  <c r="F19" i="4"/>
  <c r="E19" i="4"/>
  <c r="F18" i="4"/>
  <c r="E18" i="4"/>
  <c r="F17" i="4"/>
  <c r="E17" i="4"/>
  <c r="F16" i="4"/>
  <c r="E16" i="4"/>
  <c r="F15" i="4"/>
  <c r="E15" i="4"/>
  <c r="F14" i="4"/>
  <c r="E14" i="4"/>
  <c r="F13" i="4"/>
  <c r="E13" i="4"/>
  <c r="F12" i="4"/>
  <c r="E12" i="4"/>
  <c r="F11" i="4"/>
  <c r="E11" i="4"/>
  <c r="F10" i="4"/>
  <c r="E10" i="4"/>
  <c r="F9" i="4"/>
  <c r="E9" i="4"/>
  <c r="F8" i="4"/>
  <c r="E8" i="4"/>
  <c r="F4" i="4"/>
  <c r="N23" i="3"/>
  <c r="J23" i="3"/>
  <c r="I23" i="3"/>
  <c r="H23" i="3"/>
  <c r="F23" i="3"/>
  <c r="O22" i="3"/>
  <c r="N22" i="3"/>
  <c r="M22" i="3"/>
  <c r="K22" i="3"/>
  <c r="G22" i="3"/>
  <c r="F22" i="3"/>
  <c r="E22" i="3"/>
  <c r="C22" i="3"/>
  <c r="L21" i="3"/>
  <c r="K21" i="3"/>
  <c r="J21" i="3"/>
  <c r="H21" i="3"/>
  <c r="D21" i="3"/>
  <c r="C21" i="3"/>
  <c r="O20" i="3"/>
  <c r="M20" i="3"/>
  <c r="I20" i="3"/>
  <c r="H20" i="3"/>
  <c r="G20" i="3"/>
  <c r="E20" i="3"/>
  <c r="N19" i="3"/>
  <c r="M19" i="3"/>
  <c r="L19" i="3"/>
  <c r="J19" i="3"/>
  <c r="F19" i="3"/>
  <c r="E19" i="3"/>
  <c r="D19" i="3"/>
  <c r="O18" i="3"/>
  <c r="K18" i="3"/>
  <c r="J18" i="3"/>
  <c r="I18" i="3"/>
  <c r="G18" i="3"/>
  <c r="C18" i="3"/>
  <c r="O17" i="3"/>
  <c r="N17" i="3"/>
  <c r="L17" i="3"/>
  <c r="H17" i="3"/>
  <c r="G17" i="3"/>
  <c r="F17" i="3"/>
  <c r="D17" i="3"/>
  <c r="M16" i="3"/>
  <c r="L16" i="3"/>
  <c r="K16" i="3"/>
  <c r="I16" i="3"/>
  <c r="E16" i="3"/>
  <c r="D16" i="3"/>
  <c r="C16" i="3"/>
  <c r="N15" i="3"/>
  <c r="J15" i="3"/>
  <c r="I15" i="3"/>
  <c r="H15" i="3"/>
  <c r="F15" i="3"/>
  <c r="O14" i="3"/>
  <c r="N14" i="3"/>
  <c r="M14" i="3"/>
  <c r="K14" i="3"/>
  <c r="G14" i="3"/>
  <c r="F14" i="3"/>
  <c r="E14" i="3"/>
  <c r="C14" i="3"/>
  <c r="L13" i="3"/>
  <c r="K13" i="3"/>
  <c r="J13" i="3"/>
  <c r="H13" i="3"/>
  <c r="D13" i="3"/>
  <c r="C13" i="3"/>
  <c r="O12" i="3"/>
  <c r="M12" i="3"/>
  <c r="I12" i="3"/>
  <c r="H12" i="3"/>
  <c r="G12" i="3"/>
  <c r="E12" i="3"/>
  <c r="N11" i="3"/>
  <c r="M11" i="3"/>
  <c r="L11" i="3"/>
  <c r="J11" i="3"/>
  <c r="F11" i="3"/>
  <c r="E11" i="3"/>
  <c r="D11" i="3"/>
  <c r="O10" i="3"/>
  <c r="K10" i="3"/>
  <c r="J10" i="3"/>
  <c r="I10" i="3"/>
  <c r="G10" i="3"/>
  <c r="C10" i="3"/>
  <c r="O9" i="3"/>
  <c r="N9" i="3"/>
  <c r="L9" i="3"/>
  <c r="H9" i="3"/>
  <c r="G9" i="3"/>
  <c r="F9" i="3"/>
  <c r="D9" i="3"/>
  <c r="M8" i="3"/>
  <c r="L8" i="3"/>
  <c r="K8" i="3"/>
  <c r="I8" i="3"/>
  <c r="E8" i="3"/>
  <c r="D8" i="3"/>
  <c r="C8" i="3"/>
  <c r="N7" i="3"/>
  <c r="J7" i="3"/>
  <c r="I7" i="3"/>
  <c r="H7" i="3"/>
  <c r="F7" i="3"/>
  <c r="O6" i="3"/>
  <c r="N6" i="3"/>
  <c r="M6" i="3"/>
  <c r="K6" i="3"/>
  <c r="G6" i="3"/>
  <c r="F6" i="3"/>
  <c r="E6" i="3"/>
  <c r="C6" i="3"/>
  <c r="F3" i="3"/>
  <c r="O23" i="3" s="1"/>
  <c r="P21" i="2"/>
  <c r="R20" i="2"/>
  <c r="B20" i="2"/>
  <c r="D19" i="2"/>
  <c r="F18" i="2"/>
  <c r="H17" i="2"/>
  <c r="O16" i="2"/>
  <c r="S15" i="2"/>
  <c r="K15" i="2"/>
  <c r="C15" i="2"/>
  <c r="M14" i="2"/>
  <c r="E14" i="2"/>
  <c r="O13" i="2"/>
  <c r="G13" i="2"/>
  <c r="Q12" i="2"/>
  <c r="I12" i="2"/>
  <c r="S11" i="2"/>
  <c r="N11" i="2"/>
  <c r="K11" i="2"/>
  <c r="F11" i="2"/>
  <c r="C11" i="2"/>
  <c r="P10" i="2"/>
  <c r="M10" i="2"/>
  <c r="H10" i="2"/>
  <c r="E10" i="2"/>
  <c r="R9" i="2"/>
  <c r="O9" i="2"/>
  <c r="J9" i="2"/>
  <c r="G9" i="2"/>
  <c r="B9" i="2"/>
  <c r="Q8" i="2"/>
  <c r="L8" i="2"/>
  <c r="I8" i="2"/>
  <c r="D8" i="2"/>
  <c r="S7" i="2"/>
  <c r="N7" i="2"/>
  <c r="K7" i="2"/>
  <c r="F7" i="2"/>
  <c r="C7" i="2"/>
  <c r="F4" i="2"/>
  <c r="I21" i="2" s="1"/>
  <c r="D39" i="1"/>
  <c r="C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B11" i="1"/>
  <c r="F37" i="1" s="1"/>
  <c r="G37" i="1" s="1"/>
  <c r="F16" i="1" l="1"/>
  <c r="G16" i="1" s="1"/>
  <c r="F34" i="1"/>
  <c r="G34" i="1" s="1"/>
  <c r="F18" i="1"/>
  <c r="G18" i="1" s="1"/>
  <c r="F32" i="1"/>
  <c r="G32" i="1" s="1"/>
  <c r="G28" i="4"/>
  <c r="H28" i="4" s="1"/>
  <c r="G20" i="4"/>
  <c r="H20" i="4" s="1"/>
  <c r="G12" i="4"/>
  <c r="H12" i="4" s="1"/>
  <c r="G26" i="4"/>
  <c r="H26" i="4" s="1"/>
  <c r="G18" i="4"/>
  <c r="H18" i="4" s="1"/>
  <c r="G10" i="4"/>
  <c r="H10" i="4" s="1"/>
  <c r="G29" i="4"/>
  <c r="G21" i="4"/>
  <c r="G13" i="4"/>
  <c r="G24" i="4"/>
  <c r="H24" i="4" s="1"/>
  <c r="G16" i="4"/>
  <c r="H16" i="4" s="1"/>
  <c r="G8" i="4"/>
  <c r="H8" i="4" s="1"/>
  <c r="G30" i="4"/>
  <c r="H30" i="4" s="1"/>
  <c r="G22" i="4"/>
  <c r="H22" i="4" s="1"/>
  <c r="G14" i="4"/>
  <c r="H14" i="4" s="1"/>
  <c r="G25" i="4"/>
  <c r="D7" i="2"/>
  <c r="L7" i="2"/>
  <c r="B8" i="2"/>
  <c r="J8" i="2"/>
  <c r="R8" i="2"/>
  <c r="H9" i="2"/>
  <c r="P9" i="2"/>
  <c r="F10" i="2"/>
  <c r="N10" i="2"/>
  <c r="D11" i="2"/>
  <c r="L11" i="2"/>
  <c r="B12" i="2"/>
  <c r="J12" i="2"/>
  <c r="R12" i="2"/>
  <c r="H13" i="2"/>
  <c r="P13" i="2"/>
  <c r="F14" i="2"/>
  <c r="N14" i="2"/>
  <c r="D15" i="2"/>
  <c r="L15" i="2"/>
  <c r="B16" i="2"/>
  <c r="P16" i="2"/>
  <c r="I17" i="2"/>
  <c r="G18" i="2"/>
  <c r="E19" i="2"/>
  <c r="C20" i="2"/>
  <c r="S20" i="2"/>
  <c r="Q21" i="2"/>
  <c r="H13" i="4"/>
  <c r="G15" i="4"/>
  <c r="E7" i="2"/>
  <c r="M7" i="2"/>
  <c r="C8" i="2"/>
  <c r="K8" i="2"/>
  <c r="S8" i="2"/>
  <c r="I9" i="2"/>
  <c r="Q9" i="2"/>
  <c r="G10" i="2"/>
  <c r="O10" i="2"/>
  <c r="E11" i="2"/>
  <c r="M11" i="2"/>
  <c r="C12" i="2"/>
  <c r="K12" i="2"/>
  <c r="S12" i="2"/>
  <c r="I13" i="2"/>
  <c r="Q13" i="2"/>
  <c r="G14" i="2"/>
  <c r="O14" i="2"/>
  <c r="E15" i="2"/>
  <c r="M15" i="2"/>
  <c r="C16" i="2"/>
  <c r="Q16" i="2"/>
  <c r="M17" i="2"/>
  <c r="K18" i="2"/>
  <c r="I19" i="2"/>
  <c r="G20" i="2"/>
  <c r="E21" i="2"/>
  <c r="H21" i="4"/>
  <c r="G23" i="4"/>
  <c r="H23" i="4" s="1"/>
  <c r="H29" i="4"/>
  <c r="G31" i="4"/>
  <c r="H31" i="4" s="1"/>
  <c r="D12" i="2"/>
  <c r="L12" i="2"/>
  <c r="B13" i="2"/>
  <c r="J13" i="2"/>
  <c r="R13" i="2"/>
  <c r="H14" i="2"/>
  <c r="P14" i="2"/>
  <c r="F15" i="2"/>
  <c r="N15" i="2"/>
  <c r="G16" i="2"/>
  <c r="R16" i="2"/>
  <c r="O17" i="2"/>
  <c r="M18" i="2"/>
  <c r="K19" i="2"/>
  <c r="I20" i="2"/>
  <c r="G21" i="2"/>
  <c r="F22" i="1"/>
  <c r="G22" i="1" s="1"/>
  <c r="F26" i="1"/>
  <c r="G26" i="1" s="1"/>
  <c r="F36" i="1"/>
  <c r="G36" i="1" s="1"/>
  <c r="G7" i="2"/>
  <c r="O7" i="2"/>
  <c r="E8" i="2"/>
  <c r="M8" i="2"/>
  <c r="C9" i="2"/>
  <c r="K9" i="2"/>
  <c r="S9" i="2"/>
  <c r="I10" i="2"/>
  <c r="Q10" i="2"/>
  <c r="G11" i="2"/>
  <c r="O11" i="2"/>
  <c r="E12" i="2"/>
  <c r="M12" i="2"/>
  <c r="C13" i="2"/>
  <c r="K13" i="2"/>
  <c r="S13" i="2"/>
  <c r="I14" i="2"/>
  <c r="Q14" i="2"/>
  <c r="G15" i="2"/>
  <c r="O15" i="2"/>
  <c r="H16" i="2"/>
  <c r="S16" i="2"/>
  <c r="P17" i="2"/>
  <c r="N18" i="2"/>
  <c r="L19" i="2"/>
  <c r="J20" i="2"/>
  <c r="H21" i="2"/>
  <c r="F20" i="1"/>
  <c r="G20" i="1" s="1"/>
  <c r="F24" i="1"/>
  <c r="G24" i="1" s="1"/>
  <c r="F28" i="1"/>
  <c r="G28" i="1" s="1"/>
  <c r="F30" i="1"/>
  <c r="G30" i="1" s="1"/>
  <c r="F38" i="1"/>
  <c r="G38" i="1" s="1"/>
  <c r="F15" i="1"/>
  <c r="G15" i="1" s="1"/>
  <c r="F19" i="1"/>
  <c r="G19" i="1" s="1"/>
  <c r="F23" i="1"/>
  <c r="G23" i="1" s="1"/>
  <c r="F27" i="1"/>
  <c r="G27" i="1" s="1"/>
  <c r="F31" i="1"/>
  <c r="G31" i="1" s="1"/>
  <c r="F35" i="1"/>
  <c r="G35" i="1" s="1"/>
  <c r="H7" i="2"/>
  <c r="P7" i="2"/>
  <c r="F8" i="2"/>
  <c r="N8" i="2"/>
  <c r="D9" i="2"/>
  <c r="L9" i="2"/>
  <c r="B10" i="2"/>
  <c r="J10" i="2"/>
  <c r="R10" i="2"/>
  <c r="H11" i="2"/>
  <c r="P11" i="2"/>
  <c r="F12" i="2"/>
  <c r="N12" i="2"/>
  <c r="D13" i="2"/>
  <c r="L13" i="2"/>
  <c r="B14" i="2"/>
  <c r="J14" i="2"/>
  <c r="R14" i="2"/>
  <c r="H15" i="2"/>
  <c r="P15" i="2"/>
  <c r="I16" i="2"/>
  <c r="E17" i="2"/>
  <c r="Q17" i="2"/>
  <c r="O18" i="2"/>
  <c r="M19" i="2"/>
  <c r="K20" i="2"/>
  <c r="G9" i="4"/>
  <c r="H9" i="4" s="1"/>
  <c r="G11" i="4"/>
  <c r="H11" i="4" s="1"/>
  <c r="H8" i="6"/>
  <c r="F17" i="1"/>
  <c r="G17" i="1" s="1"/>
  <c r="F21" i="1"/>
  <c r="G21" i="1" s="1"/>
  <c r="F25" i="1"/>
  <c r="G25" i="1" s="1"/>
  <c r="F29" i="1"/>
  <c r="G29" i="1" s="1"/>
  <c r="F33" i="1"/>
  <c r="G33" i="1" s="1"/>
  <c r="N21" i="2"/>
  <c r="F21" i="2"/>
  <c r="P20" i="2"/>
  <c r="H20" i="2"/>
  <c r="R19" i="2"/>
  <c r="J19" i="2"/>
  <c r="B19" i="2"/>
  <c r="L18" i="2"/>
  <c r="D18" i="2"/>
  <c r="N17" i="2"/>
  <c r="L21" i="2"/>
  <c r="D21" i="2"/>
  <c r="N20" i="2"/>
  <c r="F20" i="2"/>
  <c r="P19" i="2"/>
  <c r="H19" i="2"/>
  <c r="R18" i="2"/>
  <c r="J18" i="2"/>
  <c r="B18" i="2"/>
  <c r="L17" i="2"/>
  <c r="D17" i="2"/>
  <c r="N16" i="2"/>
  <c r="F16" i="2"/>
  <c r="S21" i="2"/>
  <c r="K21" i="2"/>
  <c r="C21" i="2"/>
  <c r="M20" i="2"/>
  <c r="E20" i="2"/>
  <c r="O19" i="2"/>
  <c r="G19" i="2"/>
  <c r="Q18" i="2"/>
  <c r="I18" i="2"/>
  <c r="S17" i="2"/>
  <c r="K17" i="2"/>
  <c r="C17" i="2"/>
  <c r="M16" i="2"/>
  <c r="E16" i="2"/>
  <c r="R21" i="2"/>
  <c r="J21" i="2"/>
  <c r="B21" i="2"/>
  <c r="L20" i="2"/>
  <c r="D20" i="2"/>
  <c r="N19" i="2"/>
  <c r="F19" i="2"/>
  <c r="P18" i="2"/>
  <c r="H18" i="2"/>
  <c r="R17" i="2"/>
  <c r="J17" i="2"/>
  <c r="B17" i="2"/>
  <c r="L16" i="2"/>
  <c r="D16" i="2"/>
  <c r="I7" i="2"/>
  <c r="Q7" i="2"/>
  <c r="G8" i="2"/>
  <c r="O8" i="2"/>
  <c r="E9" i="2"/>
  <c r="M9" i="2"/>
  <c r="C10" i="2"/>
  <c r="K10" i="2"/>
  <c r="S10" i="2"/>
  <c r="I11" i="2"/>
  <c r="Q11" i="2"/>
  <c r="G12" i="2"/>
  <c r="O12" i="2"/>
  <c r="E13" i="2"/>
  <c r="M13" i="2"/>
  <c r="C14" i="2"/>
  <c r="K14" i="2"/>
  <c r="S14" i="2"/>
  <c r="I15" i="2"/>
  <c r="Q15" i="2"/>
  <c r="J16" i="2"/>
  <c r="F17" i="2"/>
  <c r="C18" i="2"/>
  <c r="S18" i="2"/>
  <c r="Q19" i="2"/>
  <c r="O20" i="2"/>
  <c r="M21" i="2"/>
  <c r="G19" i="4"/>
  <c r="H19" i="4" s="1"/>
  <c r="H25" i="4"/>
  <c r="E25" i="7"/>
  <c r="E21" i="7"/>
  <c r="E17" i="7"/>
  <c r="E13" i="7"/>
  <c r="E9" i="7"/>
  <c r="E26" i="7"/>
  <c r="E22" i="7"/>
  <c r="E18" i="7"/>
  <c r="E14" i="7"/>
  <c r="E10" i="7"/>
  <c r="E23" i="7"/>
  <c r="E19" i="7"/>
  <c r="E15" i="7"/>
  <c r="E11" i="7"/>
  <c r="E7" i="7"/>
  <c r="E24" i="7"/>
  <c r="E20" i="7"/>
  <c r="E16" i="7"/>
  <c r="E12" i="7"/>
  <c r="E8" i="7"/>
  <c r="B7" i="2"/>
  <c r="J7" i="2"/>
  <c r="R7" i="2"/>
  <c r="H8" i="2"/>
  <c r="P8" i="2"/>
  <c r="F9" i="2"/>
  <c r="N9" i="2"/>
  <c r="D10" i="2"/>
  <c r="L10" i="2"/>
  <c r="B11" i="2"/>
  <c r="J11" i="2"/>
  <c r="R11" i="2"/>
  <c r="H12" i="2"/>
  <c r="P12" i="2"/>
  <c r="F13" i="2"/>
  <c r="N13" i="2"/>
  <c r="D14" i="2"/>
  <c r="L14" i="2"/>
  <c r="B15" i="2"/>
  <c r="J15" i="2"/>
  <c r="R15" i="2"/>
  <c r="K16" i="2"/>
  <c r="G17" i="2"/>
  <c r="E18" i="2"/>
  <c r="C19" i="2"/>
  <c r="S19" i="2"/>
  <c r="Q20" i="2"/>
  <c r="O21" i="2"/>
  <c r="H15" i="4"/>
  <c r="G17" i="4"/>
  <c r="H17" i="4" s="1"/>
  <c r="G27" i="4"/>
  <c r="H27" i="4" s="1"/>
  <c r="I7" i="6"/>
  <c r="C9" i="6"/>
  <c r="D10" i="6"/>
  <c r="E11" i="6"/>
  <c r="F12" i="6"/>
  <c r="G13" i="6"/>
  <c r="I15" i="6"/>
  <c r="C17" i="6"/>
  <c r="D18" i="6"/>
  <c r="H18" i="6" s="1"/>
  <c r="C8" i="6"/>
  <c r="D9" i="6"/>
  <c r="H9" i="6" s="1"/>
  <c r="E10" i="6"/>
  <c r="F11" i="6"/>
  <c r="G12" i="6"/>
  <c r="I14" i="6"/>
  <c r="C16" i="6"/>
  <c r="H16" i="6" s="1"/>
  <c r="D17" i="6"/>
  <c r="H17" i="6" s="1"/>
  <c r="E18" i="6"/>
  <c r="D7" i="7"/>
  <c r="F7" i="7" s="1"/>
  <c r="H6" i="3"/>
  <c r="C7" i="3"/>
  <c r="K7" i="3"/>
  <c r="F8" i="3"/>
  <c r="N8" i="3"/>
  <c r="I9" i="3"/>
  <c r="D10" i="3"/>
  <c r="L10" i="3"/>
  <c r="G11" i="3"/>
  <c r="O11" i="3"/>
  <c r="J12" i="3"/>
  <c r="E13" i="3"/>
  <c r="M13" i="3"/>
  <c r="H14" i="3"/>
  <c r="C15" i="3"/>
  <c r="K15" i="3"/>
  <c r="F16" i="3"/>
  <c r="N16" i="3"/>
  <c r="I17" i="3"/>
  <c r="D18" i="3"/>
  <c r="L18" i="3"/>
  <c r="G19" i="3"/>
  <c r="O19" i="3"/>
  <c r="J20" i="3"/>
  <c r="E21" i="3"/>
  <c r="M21" i="3"/>
  <c r="H22" i="3"/>
  <c r="C23" i="3"/>
  <c r="K23" i="3"/>
  <c r="C13" i="5"/>
  <c r="E14" i="5"/>
  <c r="H14" i="5" s="1"/>
  <c r="C17" i="5"/>
  <c r="E18" i="5"/>
  <c r="H18" i="5" s="1"/>
  <c r="C21" i="5"/>
  <c r="D7" i="6"/>
  <c r="H7" i="6" s="1"/>
  <c r="E8" i="6"/>
  <c r="F9" i="6"/>
  <c r="G10" i="6"/>
  <c r="I12" i="6"/>
  <c r="C14" i="6"/>
  <c r="D15" i="6"/>
  <c r="H15" i="6" s="1"/>
  <c r="E16" i="6"/>
  <c r="F17" i="6"/>
  <c r="G18" i="6"/>
  <c r="I6" i="3"/>
  <c r="D7" i="3"/>
  <c r="L7" i="3"/>
  <c r="G8" i="3"/>
  <c r="O8" i="3"/>
  <c r="J9" i="3"/>
  <c r="E10" i="3"/>
  <c r="M10" i="3"/>
  <c r="H11" i="3"/>
  <c r="C12" i="3"/>
  <c r="K12" i="3"/>
  <c r="F13" i="3"/>
  <c r="N13" i="3"/>
  <c r="I14" i="3"/>
  <c r="D15" i="3"/>
  <c r="L15" i="3"/>
  <c r="G16" i="3"/>
  <c r="O16" i="3"/>
  <c r="J17" i="3"/>
  <c r="E18" i="3"/>
  <c r="M18" i="3"/>
  <c r="H19" i="3"/>
  <c r="C20" i="3"/>
  <c r="K20" i="3"/>
  <c r="F21" i="3"/>
  <c r="N21" i="3"/>
  <c r="I22" i="3"/>
  <c r="D23" i="3"/>
  <c r="L23" i="3"/>
  <c r="D13" i="5"/>
  <c r="G13" i="5" s="1"/>
  <c r="F14" i="5"/>
  <c r="D17" i="5"/>
  <c r="G17" i="5" s="1"/>
  <c r="F18" i="5"/>
  <c r="D21" i="5"/>
  <c r="G21" i="5" s="1"/>
  <c r="E7" i="6"/>
  <c r="F8" i="6"/>
  <c r="G9" i="6"/>
  <c r="I11" i="6"/>
  <c r="C13" i="6"/>
  <c r="D14" i="6"/>
  <c r="H14" i="6" s="1"/>
  <c r="E15" i="6"/>
  <c r="F16" i="6"/>
  <c r="G17" i="6"/>
  <c r="J6" i="3"/>
  <c r="E7" i="3"/>
  <c r="M7" i="3"/>
  <c r="H8" i="3"/>
  <c r="C9" i="3"/>
  <c r="K9" i="3"/>
  <c r="F10" i="3"/>
  <c r="N10" i="3"/>
  <c r="I11" i="3"/>
  <c r="D12" i="3"/>
  <c r="L12" i="3"/>
  <c r="G13" i="3"/>
  <c r="O13" i="3"/>
  <c r="J14" i="3"/>
  <c r="E15" i="3"/>
  <c r="M15" i="3"/>
  <c r="H16" i="3"/>
  <c r="C17" i="3"/>
  <c r="K17" i="3"/>
  <c r="F18" i="3"/>
  <c r="N18" i="3"/>
  <c r="I19" i="3"/>
  <c r="D20" i="3"/>
  <c r="L20" i="3"/>
  <c r="G21" i="3"/>
  <c r="O21" i="3"/>
  <c r="J22" i="3"/>
  <c r="E23" i="3"/>
  <c r="M23" i="3"/>
  <c r="C12" i="5"/>
  <c r="E13" i="5"/>
  <c r="H13" i="5" s="1"/>
  <c r="C16" i="5"/>
  <c r="E17" i="5"/>
  <c r="H17" i="5" s="1"/>
  <c r="C20" i="5"/>
  <c r="E21" i="5"/>
  <c r="H21" i="5" s="1"/>
  <c r="F7" i="6"/>
  <c r="G8" i="6"/>
  <c r="I10" i="6"/>
  <c r="C12" i="6"/>
  <c r="D13" i="6"/>
  <c r="H13" i="6" s="1"/>
  <c r="E14" i="6"/>
  <c r="F15" i="6"/>
  <c r="G16" i="6"/>
  <c r="I18" i="6"/>
  <c r="G7" i="6"/>
  <c r="I9" i="6"/>
  <c r="C11" i="6"/>
  <c r="D12" i="6"/>
  <c r="H12" i="6" s="1"/>
  <c r="E13" i="6"/>
  <c r="F14" i="6"/>
  <c r="G15" i="6"/>
  <c r="I17" i="6"/>
  <c r="D6" i="3"/>
  <c r="L6" i="3"/>
  <c r="G7" i="3"/>
  <c r="O7" i="3"/>
  <c r="J8" i="3"/>
  <c r="E9" i="3"/>
  <c r="M9" i="3"/>
  <c r="H10" i="3"/>
  <c r="C11" i="3"/>
  <c r="K11" i="3"/>
  <c r="F12" i="3"/>
  <c r="N12" i="3"/>
  <c r="I13" i="3"/>
  <c r="D14" i="3"/>
  <c r="L14" i="3"/>
  <c r="G15" i="3"/>
  <c r="O15" i="3"/>
  <c r="J16" i="3"/>
  <c r="E17" i="3"/>
  <c r="M17" i="3"/>
  <c r="H18" i="3"/>
  <c r="C19" i="3"/>
  <c r="K19" i="3"/>
  <c r="F20" i="3"/>
  <c r="N20" i="3"/>
  <c r="I21" i="3"/>
  <c r="D22" i="3"/>
  <c r="L22" i="3"/>
  <c r="G23" i="3"/>
  <c r="E12" i="5"/>
  <c r="H12" i="5" s="1"/>
  <c r="C15" i="5"/>
  <c r="E16" i="5"/>
  <c r="H16" i="5" s="1"/>
  <c r="I8" i="6"/>
  <c r="C10" i="6"/>
  <c r="D11" i="6"/>
  <c r="E12" i="6"/>
  <c r="F13" i="6"/>
  <c r="G14" i="6"/>
  <c r="I16" i="6"/>
  <c r="I8" i="4" l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H32" i="4"/>
  <c r="H11" i="6"/>
  <c r="H10" i="6"/>
  <c r="H15" i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G39" i="1"/>
  <c r="G7" i="7"/>
  <c r="C8" i="7" l="1"/>
  <c r="H7" i="7"/>
  <c r="D8" i="7" l="1"/>
  <c r="F8" i="7" s="1"/>
  <c r="G8" i="7"/>
  <c r="C9" i="7" l="1"/>
  <c r="H8" i="7"/>
  <c r="D9" i="7" l="1"/>
  <c r="F9" i="7" s="1"/>
  <c r="G9" i="7"/>
  <c r="C10" i="7" l="1"/>
  <c r="H9" i="7"/>
  <c r="D10" i="7" l="1"/>
  <c r="F10" i="7" s="1"/>
  <c r="G10" i="7" l="1"/>
  <c r="H10" i="7" l="1"/>
  <c r="C11" i="7"/>
  <c r="D11" i="7" l="1"/>
  <c r="F11" i="7" s="1"/>
  <c r="G11" i="7" l="1"/>
  <c r="C12" i="7" l="1"/>
  <c r="H11" i="7"/>
  <c r="D12" i="7" l="1"/>
  <c r="F12" i="7" s="1"/>
  <c r="G12" i="7"/>
  <c r="C13" i="7" l="1"/>
  <c r="H12" i="7"/>
  <c r="D13" i="7" l="1"/>
  <c r="F13" i="7" s="1"/>
  <c r="G13" i="7"/>
  <c r="C14" i="7" l="1"/>
  <c r="H13" i="7"/>
  <c r="D14" i="7" l="1"/>
  <c r="F14" i="7" s="1"/>
  <c r="G14" i="7" l="1"/>
  <c r="H14" i="7" l="1"/>
  <c r="C15" i="7"/>
  <c r="D15" i="7" l="1"/>
  <c r="F15" i="7" s="1"/>
  <c r="G15" i="7" l="1"/>
  <c r="C16" i="7" l="1"/>
  <c r="H15" i="7"/>
  <c r="D16" i="7" l="1"/>
  <c r="F16" i="7" s="1"/>
  <c r="G16" i="7" l="1"/>
  <c r="C17" i="7" l="1"/>
  <c r="H16" i="7"/>
  <c r="D17" i="7" l="1"/>
  <c r="F17" i="7" s="1"/>
  <c r="G17" i="7"/>
  <c r="C18" i="7" l="1"/>
  <c r="H17" i="7"/>
  <c r="D18" i="7" l="1"/>
  <c r="F18" i="7" s="1"/>
  <c r="G18" i="7" l="1"/>
  <c r="H18" i="7" l="1"/>
  <c r="C19" i="7"/>
  <c r="D19" i="7" l="1"/>
  <c r="F19" i="7" s="1"/>
  <c r="G19" i="7" l="1"/>
  <c r="C20" i="7" l="1"/>
  <c r="H19" i="7"/>
  <c r="D20" i="7" l="1"/>
  <c r="F20" i="7" s="1"/>
  <c r="G20" i="7"/>
  <c r="C21" i="7" l="1"/>
  <c r="H20" i="7"/>
  <c r="D21" i="7" l="1"/>
  <c r="F21" i="7" s="1"/>
  <c r="G21" i="7"/>
  <c r="C22" i="7" l="1"/>
  <c r="H21" i="7"/>
  <c r="D22" i="7" l="1"/>
  <c r="F22" i="7" s="1"/>
  <c r="G22" i="7" l="1"/>
  <c r="H22" i="7" l="1"/>
  <c r="C23" i="7"/>
  <c r="D23" i="7" l="1"/>
  <c r="F23" i="7" s="1"/>
  <c r="G23" i="7" l="1"/>
  <c r="C24" i="7" l="1"/>
  <c r="H23" i="7"/>
  <c r="D24" i="7" l="1"/>
  <c r="F24" i="7" s="1"/>
  <c r="G24" i="7"/>
  <c r="C25" i="7" l="1"/>
  <c r="H24" i="7"/>
  <c r="D25" i="7" l="1"/>
  <c r="F25" i="7" s="1"/>
  <c r="G25" i="7"/>
  <c r="C26" i="7" l="1"/>
  <c r="H25" i="7"/>
  <c r="D26" i="7" l="1"/>
  <c r="F26" i="7" s="1"/>
  <c r="G26" i="7" l="1"/>
  <c r="H26" i="7" s="1"/>
</calcChain>
</file>

<file path=xl/sharedStrings.xml><?xml version="1.0" encoding="utf-8"?>
<sst xmlns="http://schemas.openxmlformats.org/spreadsheetml/2006/main" count="160" uniqueCount="141">
  <si>
    <t>STAR HYDRO POWER LIMITED – DELAYED PAYMENT INVOICE</t>
  </si>
  <si>
    <t>Primary Scenario – Section 9.7 / 9.8(d) PPA  |  Invoice SHPL/DP/49/2025  |  CPP September 2025</t>
  </si>
  <si>
    <t>KEY ASSUMPTIONS  (Blue = Input)</t>
  </si>
  <si>
    <t>Capacity Purchase Price (Rs.)</t>
  </si>
  <si>
    <t>Source: Invoice SHPL/CPP/09/2025 dated 08-Oct-2025</t>
  </si>
  <si>
    <t>Invoice Number</t>
  </si>
  <si>
    <t>SHPL/CPP/09/2025</t>
  </si>
  <si>
    <t>Invoice Date</t>
  </si>
  <si>
    <t>Due Date (30 days after invoice)</t>
  </si>
  <si>
    <t>PPA Clause 9.7 – 30 days after invoice</t>
  </si>
  <si>
    <t>3-Month KIBOR (Ask Side)</t>
  </si>
  <si>
    <t>Source: KIBOR Annexure B – applicable rate</t>
  </si>
  <si>
    <t>Penalty Spread over KIBOR</t>
  </si>
  <si>
    <t>PPA Clause 9.8(d) – KIBOR + 4.5%</t>
  </si>
  <si>
    <t>Delayed Payment Rate</t>
  </si>
  <si>
    <t>Formula: KIBOR + Spread</t>
  </si>
  <si>
    <t>Days in Year</t>
  </si>
  <si>
    <t>PPA – actual/365</t>
  </si>
  <si>
    <t>Payment
Received Date</t>
  </si>
  <si>
    <t>No. of Days
Delayed</t>
  </si>
  <si>
    <t>Balance
Outstanding (Rs.)</t>
  </si>
  <si>
    <t>Payment
Received (Rs.)</t>
  </si>
  <si>
    <t>3M KIBOR
(Ask Side)</t>
  </si>
  <si>
    <t>Delayed Payment
Rate (KIBOR+4.5%)</t>
  </si>
  <si>
    <t>Delay Payment
Amount (Rs.)</t>
  </si>
  <si>
    <t>Cumulative
Interest (Rs.)</t>
  </si>
  <si>
    <t>TOTAL</t>
  </si>
  <si>
    <t>NOTE: Original invoice claims Rs. 59,058,768 (Original) / Rs. 59,058,765 (Duplicate) – minor rounding difference of Rs.3 in duplicate vs. original. Model total matches duplicate/Annexure A figure.</t>
  </si>
  <si>
    <t>INTEREST SENSITIVITY – PRINCIPAL AMOUNTS × DELAY MONTHS  (Simple Interest | Months in Columns)</t>
  </si>
  <si>
    <t>Formula: Interest = Principal × (KIBOR + 4.5%) × (Days/365)   |   KIBOR = 11.16%   |   Rate = 15.66%</t>
  </si>
  <si>
    <t>KIBOR (Ask Side):</t>
  </si>
  <si>
    <t>Spread:</t>
  </si>
  <si>
    <t>Rate (KIBOR+Spread):</t>
  </si>
  <si>
    <t>Principal (Rs.) ↓  /  Delay Months →</t>
  </si>
  <si>
    <t>1 Month</t>
  </si>
  <si>
    <t>2 Months</t>
  </si>
  <si>
    <t>3 Months</t>
  </si>
  <si>
    <t>4 Months</t>
  </si>
  <si>
    <t>5 Months</t>
  </si>
  <si>
    <t>6 Months</t>
  </si>
  <si>
    <t>9 Months</t>
  </si>
  <si>
    <t>12 Months</t>
  </si>
  <si>
    <t>15 Months</t>
  </si>
  <si>
    <t>18 Months</t>
  </si>
  <si>
    <t>21 Months</t>
  </si>
  <si>
    <t>24 Months</t>
  </si>
  <si>
    <t>30 Months</t>
  </si>
  <si>
    <t>36 Months</t>
  </si>
  <si>
    <t>42 Months</t>
  </si>
  <si>
    <t>48 Months</t>
  </si>
  <si>
    <t>54 Months</t>
  </si>
  <si>
    <t>60 Months</t>
  </si>
  <si>
    <t>INTEREST SENSITIVITY – DELAY MONTHS × PRINCIPAL AMOUNTS  (Simple Interest | Months in Rows)</t>
  </si>
  <si>
    <t>KIBOR:</t>
  </si>
  <si>
    <t>Rate:</t>
  </si>
  <si>
    <t>Delay Months</t>
  </si>
  <si>
    <t>Approx. Days</t>
  </si>
  <si>
    <t>SCENARIO A – INTEREST ON EACH DELAYED PAYMENT INSTALMENT (DPI) FURTHER DELAYED</t>
  </si>
  <si>
    <t>Each DPI row (from Primary Scenario) is itself delayed past its own due date. Interest accrues on the DPI amount until actual receipt date.</t>
  </si>
  <si>
    <t>Example: DPI of Rs.493,841 (for 1st instalment) – if its own due date is 7-Feb-2026, interest runs until actual payment.</t>
  </si>
  <si>
    <t>DPI Instalment
(Payment Date)</t>
  </si>
  <si>
    <t>DPI Amount
(Rs.)</t>
  </si>
  <si>
    <t>DPI Due Date
(30 days later)</t>
  </si>
  <si>
    <t>Actual DPI
Payment Date</t>
  </si>
  <si>
    <t>Days DPI
Further Delayed</t>
  </si>
  <si>
    <t>KIBOR</t>
  </si>
  <si>
    <t>Rate
(KIBOR+4.5%)</t>
  </si>
  <si>
    <t>Interest on
Delayed DPI (Rs.)</t>
  </si>
  <si>
    <t>SCENARIO B – INTEREST ON TOTAL DPI INVOICE (Rs.59,058,765) DELAYED AFTER ITS 30-DAY DUE DATE</t>
  </si>
  <si>
    <t>The Delayed Payment Invoice (SHPL/DP/49/2025) dated 21-Apr-2026 itself is not paid within 30 days. Further interest accrues on unpaid DPI balance.</t>
  </si>
  <si>
    <t>DPI Invoice Date:</t>
  </si>
  <si>
    <t>DPI Due Date (30d):</t>
  </si>
  <si>
    <t>Total DPI Amount:</t>
  </si>
  <si>
    <t>Scenario Description</t>
  </si>
  <si>
    <t>Days Overdue
(After DPI Due Date)</t>
  </si>
  <si>
    <t>Actual Payment
Date (Editable)</t>
  </si>
  <si>
    <t>Simple Interest
Accrued (Rs.)</t>
  </si>
  <si>
    <t>Compound Int.
(Semi-Annual, Rs.)</t>
  </si>
  <si>
    <t>Daily Interest
Run-Rate (Rs.)</t>
  </si>
  <si>
    <t>Total Liability
(Principal+Simple, Rs.)</t>
  </si>
  <si>
    <t>Total Liability
(Principal+Compound, Rs.)</t>
  </si>
  <si>
    <t>Paid exactly on due date</t>
  </si>
  <si>
    <t>Paid 15 days after due date</t>
  </si>
  <si>
    <t>Paid 30 days after due date</t>
  </si>
  <si>
    <t>Paid 45 days after due date</t>
  </si>
  <si>
    <t>Paid 60 days after due date</t>
  </si>
  <si>
    <t>Paid 90 days after due date</t>
  </si>
  <si>
    <t>Paid 120 days after due date</t>
  </si>
  <si>
    <t>Paid 180 days after due date</t>
  </si>
  <si>
    <t>Paid 1 year after due date</t>
  </si>
  <si>
    <t>Paid 2 years after due date</t>
  </si>
  <si>
    <t>SCENARIO C – COMPOUND INTEREST ANALYSIS  (PPA Clause 9.8d – Semi-Annual Compounding)</t>
  </si>
  <si>
    <t>PPA Section 9.8(d): KIBOR + 4.5% per annum compounded semi-annually, actual/365 days. Comparison: Simple vs Semi-Annual vs Quarterly vs Monthly vs Daily Compound.</t>
  </si>
  <si>
    <t>Principal (Rs.):</t>
  </si>
  <si>
    <t>Time Period</t>
  </si>
  <si>
    <t>Days</t>
  </si>
  <si>
    <t>Simple
Interest (Rs.)</t>
  </si>
  <si>
    <t>Semi-Annual
Compound (Rs.) ✓PPA</t>
  </si>
  <si>
    <t>Quarterly
Compound (Rs.)</t>
  </si>
  <si>
    <t>Monthly
Compound (Rs.)</t>
  </si>
  <si>
    <t>Daily
Compound (Rs.)</t>
  </si>
  <si>
    <t>Compound Excess
over Simple (Rs.)</t>
  </si>
  <si>
    <t>Effective Annual
Rate (Semi-Ann)</t>
  </si>
  <si>
    <t>1 Year</t>
  </si>
  <si>
    <t>1.5 Years</t>
  </si>
  <si>
    <t>2 Years</t>
  </si>
  <si>
    <t>3 Years</t>
  </si>
  <si>
    <t>4 Years</t>
  </si>
  <si>
    <t>5 Years</t>
  </si>
  <si>
    <t>SCENARIO D – ROLLING INTEREST: DPI AMOUNT UNPAID, INTEREST COMPOUNDS EACH PERIOD</t>
  </si>
  <si>
    <t>Models the situation where the Delayed Payment Invoice itself is never paid and interest compounds. Shows total liability growth over time.</t>
  </si>
  <si>
    <t>Opening Principal:</t>
  </si>
  <si>
    <t>Annual Rate:</t>
  </si>
  <si>
    <t>Semi-Ann Rate:</t>
  </si>
  <si>
    <t>Period</t>
  </si>
  <si>
    <t>Semi-Annual
Cycle</t>
  </si>
  <si>
    <t>Opening
Balance (Rs.)</t>
  </si>
  <si>
    <t>Interest This
Period (Rs.)</t>
  </si>
  <si>
    <t>Interest
Rate</t>
  </si>
  <si>
    <t>Closing
Balance (Rs.)</t>
  </si>
  <si>
    <t>Total vs
Original DPI</t>
  </si>
  <si>
    <t>Year 1 – H1</t>
  </si>
  <si>
    <t>Year 1 – H2</t>
  </si>
  <si>
    <t>Year 2 – H1</t>
  </si>
  <si>
    <t>Year 2 – H2</t>
  </si>
  <si>
    <t>Year 3 – H1</t>
  </si>
  <si>
    <t>Year 3 – H2</t>
  </si>
  <si>
    <t>Year 4 – H1</t>
  </si>
  <si>
    <t>Year 4 – H2</t>
  </si>
  <si>
    <t>Year 5 – H1</t>
  </si>
  <si>
    <t>Year 5 – H2</t>
  </si>
  <si>
    <t>Year 6 – H1</t>
  </si>
  <si>
    <t>Year 6 – H2</t>
  </si>
  <si>
    <t>Year 7 – H1</t>
  </si>
  <si>
    <t>Year 7 – H2</t>
  </si>
  <si>
    <t>Year 8 – H1</t>
  </si>
  <si>
    <t>Year 8 – H2</t>
  </si>
  <si>
    <t>Year 9 – H1</t>
  </si>
  <si>
    <t>Year 9 – H2</t>
  </si>
  <si>
    <t>Year 10 – H1</t>
  </si>
  <si>
    <t>Year 10 – 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</si>
</sst>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0.00\x"/>
  </numFmts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BDD7EE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0000FF"/>
      <name val="Arial"/>
      <charset val="1"/>
    </font>
    <font>
      <i/>
      <sz val="9"/>
      <color rgb="FF595959"/>
      <name val="Arial"/>
      <charset val="1"/>
    </font>
    <font>
      <b/>
      <sz val="13"/>
      <color rgb="FFFFFFFF"/>
      <name val="Arial"/>
      <charset val="1"/>
    </font>
    <font>
      <i/>
      <sz val="10"/>
      <color rgb="FFBDD7EE"/>
      <name val="Arial"/>
      <charset val="1"/>
    </font>
    <font>
      <b/>
      <sz val="10"/>
      <color rgb="FF7F3F00"/>
      <name val="Arial"/>
      <charset val="1"/>
    </font>
    <font>
      <sz val="10"/>
      <color rgb="FF00000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BF0FA"/>
        <bgColor rgb="FFD9E1F2"/>
      </patternFill>
    </fill>
    <fill>
      <patternFill patternType="solid">
        <fgColor rgb="FFFFFFFF"/>
        <bgColor rgb="FFEBF0FA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EBF0FA"/>
      </patternFill>
    </fill>
    <fill>
      <patternFill patternType="solid">
        <fgColor rgb="FFFCE4D6"/>
        <bgColor rgb="FFEBF0FA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4" fillId="4" borderId="0" xfId="0" applyFont="1" applyFill="1"/>
    <xf numFmtId="164" fontId="5" fillId="4" borderId="0" xfId="0" applyNumberFormat="1" applyFont="1" applyFill="1"/>
    <xf numFmtId="0" fontId="5" fillId="4" borderId="0" xfId="0" applyFont="1" applyFill="1"/>
    <xf numFmtId="15" fontId="5" fillId="4" borderId="0" xfId="0" applyNumberFormat="1" applyFont="1" applyFill="1"/>
    <xf numFmtId="10" fontId="5" fillId="4" borderId="0" xfId="0" applyNumberFormat="1" applyFont="1" applyFill="1"/>
    <xf numFmtId="0" fontId="3" fillId="3" borderId="1" xfId="0" applyFont="1" applyFill="1" applyBorder="1" applyAlignment="1">
      <alignment horizontal="center" vertical="center" wrapText="1"/>
    </xf>
    <xf numFmtId="15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right" vertical="center"/>
    </xf>
    <xf numFmtId="10" fontId="0" fillId="4" borderId="1" xfId="0" applyNumberFormat="1" applyFill="1" applyBorder="1" applyAlignment="1">
      <alignment horizontal="center" vertical="center"/>
    </xf>
    <xf numFmtId="15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right" vertical="center"/>
    </xf>
    <xf numFmtId="10" fontId="0" fillId="5" borderId="1" xfId="0" applyNumberForma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/>
    <xf numFmtId="164" fontId="3" fillId="3" borderId="2" xfId="0" applyNumberFormat="1" applyFont="1" applyFill="1" applyBorder="1"/>
    <xf numFmtId="10" fontId="5" fillId="6" borderId="0" xfId="0" applyNumberFormat="1" applyFont="1" applyFill="1"/>
    <xf numFmtId="10" fontId="4" fillId="7" borderId="0" xfId="0" applyNumberFormat="1" applyFont="1" applyFill="1"/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right" vertical="center"/>
    </xf>
    <xf numFmtId="164" fontId="3" fillId="3" borderId="0" xfId="0" applyNumberFormat="1" applyFont="1" applyFill="1" applyAlignment="1">
      <alignment horizontal="center" vertical="center"/>
    </xf>
    <xf numFmtId="3" fontId="5" fillId="4" borderId="0" xfId="0" applyNumberFormat="1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5" fontId="5" fillId="4" borderId="1" xfId="0" applyNumberFormat="1" applyFont="1" applyFill="1" applyBorder="1" applyAlignment="1">
      <alignment horizontal="center" vertical="center"/>
    </xf>
    <xf numFmtId="15" fontId="5" fillId="5" borderId="1" xfId="0" applyNumberFormat="1" applyFont="1" applyFill="1" applyBorder="1" applyAlignment="1">
      <alignment horizontal="center" vertical="center"/>
    </xf>
    <xf numFmtId="15" fontId="5" fillId="6" borderId="0" xfId="0" applyNumberFormat="1" applyFont="1" applyFill="1"/>
    <xf numFmtId="15" fontId="4" fillId="7" borderId="0" xfId="0" applyNumberFormat="1" applyFont="1" applyFill="1"/>
    <xf numFmtId="164" fontId="5" fillId="6" borderId="0" xfId="0" applyNumberFormat="1" applyFont="1" applyFill="1"/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right" vertical="center"/>
    </xf>
    <xf numFmtId="15" fontId="4" fillId="4" borderId="1" xfId="0" applyNumberFormat="1" applyFont="1" applyFill="1" applyBorder="1" applyAlignment="1">
      <alignment horizontal="right" vertical="center"/>
    </xf>
    <xf numFmtId="0" fontId="10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right" vertical="center"/>
    </xf>
    <xf numFmtId="15" fontId="4" fillId="5" borderId="1" xfId="0" applyNumberFormat="1" applyFont="1" applyFill="1" applyBorder="1" applyAlignment="1">
      <alignment horizontal="right" vertical="center"/>
    </xf>
    <xf numFmtId="0" fontId="10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10" fontId="0" fillId="4" borderId="1" xfId="0" applyNumberFormat="1" applyFill="1" applyBorder="1" applyAlignment="1">
      <alignment horizontal="right" vertical="center"/>
    </xf>
    <xf numFmtId="0" fontId="0" fillId="5" borderId="1" xfId="0" applyFill="1" applyBorder="1" applyAlignment="1">
      <alignment horizontal="left" vertical="center"/>
    </xf>
    <xf numFmtId="10" fontId="0" fillId="5" borderId="1" xfId="0" applyNumberFormat="1" applyFill="1" applyBorder="1" applyAlignment="1">
      <alignment horizontal="right" vertical="center"/>
    </xf>
    <xf numFmtId="165" fontId="0" fillId="4" borderId="1" xfId="0" applyNumberFormat="1" applyFill="1" applyBorder="1" applyAlignment="1">
      <alignment horizontal="right" vertical="center"/>
    </xf>
    <xf numFmtId="165" fontId="0" fillId="5" borderId="1" xfId="0" applyNumberFormat="1" applyFill="1" applyBorder="1" applyAlignment="1">
      <alignment horizontal="right" vertical="center"/>
    </xf>
    <xf numFmtId="0" fontId="6" fillId="0" borderId="0" xfId="0" applyFont="1"/>
    <xf numFmtId="0" fontId="6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CE4D6"/>
      <rgbColor rgb="FFEBF0F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AAAAAA"/>
      <rgbColor rgb="FF1F3864"/>
      <rgbColor rgb="FF00B050"/>
      <rgbColor rgb="FF003300"/>
      <rgbColor rgb="FF333300"/>
      <rgbColor rgb="FF7F3F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H41"/>
  <sheetViews>
    <sheetView zoomScaleNormal="100" workbookViewId="0"/>
  </sheetViews>
  <sheetFormatPr defaultColWidth="8.6640625" defaultRowHeight="14.4" x14ac:dyDescent="0.3"/>
  <cols>
    <col min="1" max="1" width="18" customWidth="1"/>
    <col min="2" max="2" width="14" customWidth="1"/>
    <col min="3" max="4" width="18" customWidth="1"/>
    <col min="5" max="6" width="16" customWidth="1"/>
    <col min="7" max="8" width="18" customWidth="1"/>
  </cols>
  <sheetData>
    <row r="1" spans="1:8" ht="27.75" customHeight="1" x14ac:dyDescent="0.3">
      <c r="A1" s="46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47" t="s">
        <v>1</v>
      </c>
      <c r="B2" s="47"/>
      <c r="C2" s="47"/>
      <c r="D2" s="47"/>
      <c r="E2" s="47"/>
      <c r="F2" s="47"/>
      <c r="G2" s="47"/>
      <c r="H2" s="47"/>
    </row>
    <row r="4" spans="1:8" ht="15" customHeight="1" x14ac:dyDescent="0.3">
      <c r="A4" s="48" t="s">
        <v>2</v>
      </c>
      <c r="B4" s="48"/>
      <c r="C4" s="48"/>
      <c r="D4" s="48"/>
      <c r="E4" s="48"/>
      <c r="F4" s="48"/>
      <c r="G4" s="48"/>
      <c r="H4" s="48"/>
    </row>
    <row r="5" spans="1:8" ht="15.75" customHeight="1" x14ac:dyDescent="0.3">
      <c r="A5" s="1" t="s">
        <v>3</v>
      </c>
      <c r="B5" s="2">
        <v>1436030094</v>
      </c>
      <c r="C5" s="44" t="s">
        <v>4</v>
      </c>
      <c r="D5" s="44"/>
      <c r="E5" s="44"/>
      <c r="F5" s="44"/>
      <c r="G5" s="44"/>
      <c r="H5" s="44"/>
    </row>
    <row r="6" spans="1:8" ht="15.75" customHeight="1" x14ac:dyDescent="0.3">
      <c r="A6" s="1" t="s">
        <v>5</v>
      </c>
      <c r="B6" s="3" t="s">
        <v>6</v>
      </c>
    </row>
    <row r="7" spans="1:8" ht="15.75" customHeight="1" x14ac:dyDescent="0.3">
      <c r="A7" s="1" t="s">
        <v>7</v>
      </c>
      <c r="B7" s="4">
        <v>45938</v>
      </c>
    </row>
    <row r="8" spans="1:8" ht="15.75" customHeight="1" x14ac:dyDescent="0.3">
      <c r="A8" s="1" t="s">
        <v>8</v>
      </c>
      <c r="B8" s="4">
        <v>45973</v>
      </c>
      <c r="C8" s="44" t="s">
        <v>9</v>
      </c>
      <c r="D8" s="44"/>
      <c r="E8" s="44"/>
      <c r="F8" s="44"/>
      <c r="G8" s="44"/>
      <c r="H8" s="44"/>
    </row>
    <row r="9" spans="1:8" ht="15.75" customHeight="1" x14ac:dyDescent="0.3">
      <c r="A9" s="1" t="s">
        <v>10</v>
      </c>
      <c r="B9" s="5">
        <v>0.1116</v>
      </c>
      <c r="C9" s="44" t="s">
        <v>11</v>
      </c>
      <c r="D9" s="44"/>
      <c r="E9" s="44"/>
      <c r="F9" s="44"/>
      <c r="G9" s="44"/>
      <c r="H9" s="44"/>
    </row>
    <row r="10" spans="1:8" ht="15.75" customHeight="1" x14ac:dyDescent="0.3">
      <c r="A10" s="1" t="s">
        <v>12</v>
      </c>
      <c r="B10" s="5">
        <v>4.4999999999999998E-2</v>
      </c>
      <c r="C10" s="44" t="s">
        <v>13</v>
      </c>
      <c r="D10" s="44"/>
      <c r="E10" s="44"/>
      <c r="F10" s="44"/>
      <c r="G10" s="44"/>
      <c r="H10" s="44"/>
    </row>
    <row r="11" spans="1:8" ht="15.75" customHeight="1" x14ac:dyDescent="0.3">
      <c r="A11" s="1" t="s">
        <v>14</v>
      </c>
      <c r="B11" s="5">
        <f>B9+B10</f>
        <v>0.15660000000000002</v>
      </c>
      <c r="C11" s="44" t="s">
        <v>15</v>
      </c>
      <c r="D11" s="44"/>
      <c r="E11" s="44"/>
      <c r="F11" s="44"/>
      <c r="G11" s="44"/>
      <c r="H11" s="44"/>
    </row>
    <row r="12" spans="1:8" ht="15.75" customHeight="1" x14ac:dyDescent="0.3">
      <c r="A12" s="1" t="s">
        <v>16</v>
      </c>
      <c r="B12" s="3">
        <v>365</v>
      </c>
      <c r="C12" s="44" t="s">
        <v>17</v>
      </c>
      <c r="D12" s="44"/>
      <c r="E12" s="44"/>
      <c r="F12" s="44"/>
      <c r="G12" s="44"/>
      <c r="H12" s="44"/>
    </row>
    <row r="14" spans="1:8" ht="30" customHeight="1" x14ac:dyDescent="0.3">
      <c r="A14" s="6" t="s">
        <v>18</v>
      </c>
      <c r="B14" s="6" t="s">
        <v>19</v>
      </c>
      <c r="C14" s="6" t="s">
        <v>20</v>
      </c>
      <c r="D14" s="6" t="s">
        <v>21</v>
      </c>
      <c r="E14" s="6" t="s">
        <v>22</v>
      </c>
      <c r="F14" s="6" t="s">
        <v>23</v>
      </c>
      <c r="G14" s="6" t="s">
        <v>24</v>
      </c>
      <c r="H14" s="6" t="s">
        <v>25</v>
      </c>
    </row>
    <row r="15" spans="1:8" ht="15" customHeight="1" x14ac:dyDescent="0.3">
      <c r="A15" s="7">
        <v>46031</v>
      </c>
      <c r="B15" s="8">
        <v>58</v>
      </c>
      <c r="C15" s="9">
        <v>1436030093</v>
      </c>
      <c r="D15" s="9">
        <v>19845435</v>
      </c>
      <c r="E15" s="10">
        <f t="shared" ref="E15:E38" si="0">$B$9</f>
        <v>0.1116</v>
      </c>
      <c r="F15" s="10">
        <f t="shared" ref="F15:F38" si="1">$B$11</f>
        <v>0.15660000000000002</v>
      </c>
      <c r="G15" s="9">
        <f t="shared" ref="G15:G38" si="2">ROUND(C15*B15*F15/$B$12,0)</f>
        <v>35734724</v>
      </c>
      <c r="H15" s="9">
        <f>G15</f>
        <v>35734724</v>
      </c>
    </row>
    <row r="16" spans="1:8" ht="15" customHeight="1" x14ac:dyDescent="0.3">
      <c r="A16" s="11">
        <v>46036</v>
      </c>
      <c r="B16" s="12">
        <v>63</v>
      </c>
      <c r="C16" s="13">
        <v>1416184658</v>
      </c>
      <c r="D16" s="13">
        <v>75000000</v>
      </c>
      <c r="E16" s="14">
        <f t="shared" si="0"/>
        <v>0.1116</v>
      </c>
      <c r="F16" s="14">
        <f t="shared" si="1"/>
        <v>0.15660000000000002</v>
      </c>
      <c r="G16" s="13">
        <f t="shared" si="2"/>
        <v>38278889</v>
      </c>
      <c r="H16" s="13">
        <f t="shared" ref="H16:H38" si="3">H15+G16</f>
        <v>74013613</v>
      </c>
    </row>
    <row r="17" spans="1:8" ht="15" customHeight="1" x14ac:dyDescent="0.3">
      <c r="A17" s="7">
        <v>46042</v>
      </c>
      <c r="B17" s="8">
        <v>69</v>
      </c>
      <c r="C17" s="9">
        <v>1341184658</v>
      </c>
      <c r="D17" s="9">
        <v>15000000</v>
      </c>
      <c r="E17" s="10">
        <f t="shared" si="0"/>
        <v>0.1116</v>
      </c>
      <c r="F17" s="10">
        <f t="shared" si="1"/>
        <v>0.15660000000000002</v>
      </c>
      <c r="G17" s="9">
        <f t="shared" si="2"/>
        <v>39704210</v>
      </c>
      <c r="H17" s="9">
        <f t="shared" si="3"/>
        <v>113717823</v>
      </c>
    </row>
    <row r="18" spans="1:8" ht="15" customHeight="1" x14ac:dyDescent="0.3">
      <c r="A18" s="11">
        <v>46043</v>
      </c>
      <c r="B18" s="12">
        <v>70</v>
      </c>
      <c r="C18" s="13">
        <v>1326184658</v>
      </c>
      <c r="D18" s="13">
        <v>25000000</v>
      </c>
      <c r="E18" s="14">
        <f t="shared" si="0"/>
        <v>0.1116</v>
      </c>
      <c r="F18" s="14">
        <f t="shared" si="1"/>
        <v>0.15660000000000002</v>
      </c>
      <c r="G18" s="13">
        <f t="shared" si="2"/>
        <v>39829140</v>
      </c>
      <c r="H18" s="13">
        <f t="shared" si="3"/>
        <v>153546963</v>
      </c>
    </row>
    <row r="19" spans="1:8" ht="15" customHeight="1" x14ac:dyDescent="0.3">
      <c r="A19" s="7">
        <v>46044</v>
      </c>
      <c r="B19" s="8">
        <v>71</v>
      </c>
      <c r="C19" s="9">
        <v>1301184658</v>
      </c>
      <c r="D19" s="9">
        <v>100000000</v>
      </c>
      <c r="E19" s="10">
        <f t="shared" si="0"/>
        <v>0.1116</v>
      </c>
      <c r="F19" s="10">
        <f t="shared" si="1"/>
        <v>0.15660000000000002</v>
      </c>
      <c r="G19" s="9">
        <f t="shared" si="2"/>
        <v>39636580</v>
      </c>
      <c r="H19" s="9">
        <f t="shared" si="3"/>
        <v>193183543</v>
      </c>
    </row>
    <row r="20" spans="1:8" ht="15" customHeight="1" x14ac:dyDescent="0.3">
      <c r="A20" s="11">
        <v>46045</v>
      </c>
      <c r="B20" s="12">
        <v>72</v>
      </c>
      <c r="C20" s="13">
        <v>1201184658</v>
      </c>
      <c r="D20" s="13">
        <v>50000000</v>
      </c>
      <c r="E20" s="14">
        <f t="shared" si="0"/>
        <v>0.1116</v>
      </c>
      <c r="F20" s="14">
        <f t="shared" si="1"/>
        <v>0.15660000000000002</v>
      </c>
      <c r="G20" s="13">
        <f t="shared" si="2"/>
        <v>37105746</v>
      </c>
      <c r="H20" s="13">
        <f t="shared" si="3"/>
        <v>230289289</v>
      </c>
    </row>
    <row r="21" spans="1:8" ht="15" customHeight="1" x14ac:dyDescent="0.3">
      <c r="A21" s="7">
        <v>46048</v>
      </c>
      <c r="B21" s="8">
        <v>75</v>
      </c>
      <c r="C21" s="9">
        <v>1151184658</v>
      </c>
      <c r="D21" s="9">
        <v>11018230</v>
      </c>
      <c r="E21" s="10">
        <f t="shared" si="0"/>
        <v>0.1116</v>
      </c>
      <c r="F21" s="10">
        <f t="shared" si="1"/>
        <v>0.15660000000000002</v>
      </c>
      <c r="G21" s="9">
        <f t="shared" si="2"/>
        <v>37042915</v>
      </c>
      <c r="H21" s="9">
        <f t="shared" si="3"/>
        <v>267332204</v>
      </c>
    </row>
    <row r="22" spans="1:8" ht="15" customHeight="1" x14ac:dyDescent="0.3">
      <c r="A22" s="11">
        <v>46048</v>
      </c>
      <c r="B22" s="12">
        <v>75</v>
      </c>
      <c r="C22" s="13">
        <v>1140166428</v>
      </c>
      <c r="D22" s="13">
        <v>8981770</v>
      </c>
      <c r="E22" s="14">
        <f t="shared" si="0"/>
        <v>0.1116</v>
      </c>
      <c r="F22" s="14">
        <f t="shared" si="1"/>
        <v>0.15660000000000002</v>
      </c>
      <c r="G22" s="13">
        <f t="shared" si="2"/>
        <v>36688369</v>
      </c>
      <c r="H22" s="13">
        <f t="shared" si="3"/>
        <v>304020573</v>
      </c>
    </row>
    <row r="23" spans="1:8" ht="15" customHeight="1" x14ac:dyDescent="0.3">
      <c r="A23" s="7">
        <v>46049</v>
      </c>
      <c r="B23" s="8">
        <v>76</v>
      </c>
      <c r="C23" s="9">
        <v>1131184658</v>
      </c>
      <c r="D23" s="9">
        <v>15000000</v>
      </c>
      <c r="E23" s="10">
        <f t="shared" si="0"/>
        <v>0.1116</v>
      </c>
      <c r="F23" s="10">
        <f t="shared" si="1"/>
        <v>0.15660000000000002</v>
      </c>
      <c r="G23" s="9">
        <f t="shared" si="2"/>
        <v>36884678</v>
      </c>
      <c r="H23" s="9">
        <f t="shared" si="3"/>
        <v>340905251</v>
      </c>
    </row>
    <row r="24" spans="1:8" ht="15" customHeight="1" x14ac:dyDescent="0.3">
      <c r="A24" s="11">
        <v>46055</v>
      </c>
      <c r="B24" s="12">
        <v>82</v>
      </c>
      <c r="C24" s="13">
        <v>1116184658</v>
      </c>
      <c r="D24" s="13">
        <v>25000000</v>
      </c>
      <c r="E24" s="14">
        <f t="shared" si="0"/>
        <v>0.1116</v>
      </c>
      <c r="F24" s="14">
        <f t="shared" si="1"/>
        <v>0.15660000000000002</v>
      </c>
      <c r="G24" s="13">
        <f t="shared" si="2"/>
        <v>39268905</v>
      </c>
      <c r="H24" s="13">
        <f t="shared" si="3"/>
        <v>380174156</v>
      </c>
    </row>
    <row r="25" spans="1:8" ht="15" customHeight="1" x14ac:dyDescent="0.3">
      <c r="A25" s="7">
        <v>46056</v>
      </c>
      <c r="B25" s="8">
        <v>83</v>
      </c>
      <c r="C25" s="9">
        <v>1091184658</v>
      </c>
      <c r="D25" s="9">
        <v>75000000</v>
      </c>
      <c r="E25" s="10">
        <f t="shared" si="0"/>
        <v>0.1116</v>
      </c>
      <c r="F25" s="10">
        <f t="shared" si="1"/>
        <v>0.15660000000000002</v>
      </c>
      <c r="G25" s="9">
        <f t="shared" si="2"/>
        <v>38857534</v>
      </c>
      <c r="H25" s="9">
        <f t="shared" si="3"/>
        <v>419031690</v>
      </c>
    </row>
    <row r="26" spans="1:8" ht="15" customHeight="1" x14ac:dyDescent="0.3">
      <c r="A26" s="11">
        <v>46056</v>
      </c>
      <c r="B26" s="12">
        <v>83</v>
      </c>
      <c r="C26" s="13">
        <v>1016184658</v>
      </c>
      <c r="D26" s="13">
        <v>25000000</v>
      </c>
      <c r="E26" s="14">
        <f t="shared" si="0"/>
        <v>0.1116</v>
      </c>
      <c r="F26" s="14">
        <f t="shared" si="1"/>
        <v>0.15660000000000002</v>
      </c>
      <c r="G26" s="13">
        <f t="shared" si="2"/>
        <v>36186753</v>
      </c>
      <c r="H26" s="13">
        <f t="shared" si="3"/>
        <v>455218443</v>
      </c>
    </row>
    <row r="27" spans="1:8" ht="15" customHeight="1" x14ac:dyDescent="0.3">
      <c r="A27" s="7">
        <v>46069</v>
      </c>
      <c r="B27" s="8">
        <v>96</v>
      </c>
      <c r="C27" s="9">
        <v>991184658</v>
      </c>
      <c r="D27" s="9">
        <v>125000000</v>
      </c>
      <c r="E27" s="10">
        <f t="shared" si="0"/>
        <v>0.1116</v>
      </c>
      <c r="F27" s="10">
        <f t="shared" si="1"/>
        <v>0.15660000000000002</v>
      </c>
      <c r="G27" s="9">
        <f t="shared" si="2"/>
        <v>40824859</v>
      </c>
      <c r="H27" s="9">
        <f t="shared" si="3"/>
        <v>496043302</v>
      </c>
    </row>
    <row r="28" spans="1:8" ht="15" customHeight="1" x14ac:dyDescent="0.3">
      <c r="A28" s="11">
        <v>46070</v>
      </c>
      <c r="B28" s="12">
        <v>97</v>
      </c>
      <c r="C28" s="13">
        <v>866184658</v>
      </c>
      <c r="D28" s="13">
        <v>50000000</v>
      </c>
      <c r="E28" s="14">
        <f t="shared" si="0"/>
        <v>0.1116</v>
      </c>
      <c r="F28" s="14">
        <f t="shared" si="1"/>
        <v>0.15660000000000002</v>
      </c>
      <c r="G28" s="13">
        <f t="shared" si="2"/>
        <v>36047995</v>
      </c>
      <c r="H28" s="13">
        <f t="shared" si="3"/>
        <v>532091297</v>
      </c>
    </row>
    <row r="29" spans="1:8" ht="15" customHeight="1" x14ac:dyDescent="0.3">
      <c r="A29" s="7">
        <v>46076</v>
      </c>
      <c r="B29" s="8">
        <v>103</v>
      </c>
      <c r="C29" s="9">
        <v>816184658</v>
      </c>
      <c r="D29" s="9">
        <v>100000000</v>
      </c>
      <c r="E29" s="10">
        <f t="shared" si="0"/>
        <v>0.1116</v>
      </c>
      <c r="F29" s="10">
        <f t="shared" si="1"/>
        <v>0.15660000000000002</v>
      </c>
      <c r="G29" s="9">
        <f t="shared" si="2"/>
        <v>36068206</v>
      </c>
      <c r="H29" s="9">
        <f t="shared" si="3"/>
        <v>568159503</v>
      </c>
    </row>
    <row r="30" spans="1:8" ht="15" customHeight="1" x14ac:dyDescent="0.3">
      <c r="A30" s="11">
        <v>46077</v>
      </c>
      <c r="B30" s="12">
        <v>104</v>
      </c>
      <c r="C30" s="13">
        <v>716184658</v>
      </c>
      <c r="D30" s="13">
        <v>23282410</v>
      </c>
      <c r="E30" s="14">
        <f t="shared" si="0"/>
        <v>0.1116</v>
      </c>
      <c r="F30" s="14">
        <f t="shared" si="1"/>
        <v>0.15660000000000002</v>
      </c>
      <c r="G30" s="13">
        <f t="shared" si="2"/>
        <v>31956356</v>
      </c>
      <c r="H30" s="13">
        <f t="shared" si="3"/>
        <v>600115859</v>
      </c>
    </row>
    <row r="31" spans="1:8" ht="15" customHeight="1" x14ac:dyDescent="0.3">
      <c r="A31" s="7">
        <v>46077</v>
      </c>
      <c r="B31" s="8">
        <v>104</v>
      </c>
      <c r="C31" s="9">
        <v>692902248</v>
      </c>
      <c r="D31" s="9">
        <v>76717590</v>
      </c>
      <c r="E31" s="10">
        <f t="shared" si="0"/>
        <v>0.1116</v>
      </c>
      <c r="F31" s="10">
        <f t="shared" si="1"/>
        <v>0.15660000000000002</v>
      </c>
      <c r="G31" s="9">
        <f t="shared" si="2"/>
        <v>30917488</v>
      </c>
      <c r="H31" s="9">
        <f t="shared" si="3"/>
        <v>631033347</v>
      </c>
    </row>
    <row r="32" spans="1:8" ht="15" customHeight="1" x14ac:dyDescent="0.3">
      <c r="A32" s="11">
        <v>46078</v>
      </c>
      <c r="B32" s="12">
        <v>105</v>
      </c>
      <c r="C32" s="13">
        <v>616184658</v>
      </c>
      <c r="D32" s="13">
        <v>100000000</v>
      </c>
      <c r="E32" s="14">
        <f t="shared" si="0"/>
        <v>0.1116</v>
      </c>
      <c r="F32" s="14">
        <f t="shared" si="1"/>
        <v>0.15660000000000002</v>
      </c>
      <c r="G32" s="13">
        <f t="shared" si="2"/>
        <v>27758697</v>
      </c>
      <c r="H32" s="13">
        <f t="shared" si="3"/>
        <v>658792044</v>
      </c>
    </row>
    <row r="33" spans="1:8" ht="15" customHeight="1" x14ac:dyDescent="0.3">
      <c r="A33" s="7">
        <v>46079</v>
      </c>
      <c r="B33" s="8">
        <v>106</v>
      </c>
      <c r="C33" s="9">
        <v>516184658</v>
      </c>
      <c r="D33" s="9">
        <v>100000000</v>
      </c>
      <c r="E33" s="10">
        <f t="shared" si="0"/>
        <v>0.1116</v>
      </c>
      <c r="F33" s="10">
        <f t="shared" si="1"/>
        <v>0.15660000000000002</v>
      </c>
      <c r="G33" s="9">
        <f t="shared" si="2"/>
        <v>23475230</v>
      </c>
      <c r="H33" s="9">
        <f t="shared" si="3"/>
        <v>682267274</v>
      </c>
    </row>
    <row r="34" spans="1:8" ht="15" customHeight="1" x14ac:dyDescent="0.3">
      <c r="A34" s="11">
        <v>46080</v>
      </c>
      <c r="B34" s="12">
        <v>107</v>
      </c>
      <c r="C34" s="13">
        <v>416184658</v>
      </c>
      <c r="D34" s="13">
        <v>100000000</v>
      </c>
      <c r="E34" s="14">
        <f t="shared" si="0"/>
        <v>0.1116</v>
      </c>
      <c r="F34" s="14">
        <f t="shared" si="1"/>
        <v>0.15660000000000002</v>
      </c>
      <c r="G34" s="13">
        <f t="shared" si="2"/>
        <v>19105954</v>
      </c>
      <c r="H34" s="13">
        <f t="shared" si="3"/>
        <v>701373228</v>
      </c>
    </row>
    <row r="35" spans="1:8" ht="15" customHeight="1" x14ac:dyDescent="0.3">
      <c r="A35" s="7">
        <v>46083</v>
      </c>
      <c r="B35" s="8">
        <v>110</v>
      </c>
      <c r="C35" s="9">
        <v>316184658</v>
      </c>
      <c r="D35" s="9">
        <v>50160245</v>
      </c>
      <c r="E35" s="10">
        <f t="shared" si="0"/>
        <v>0.1116</v>
      </c>
      <c r="F35" s="10">
        <f t="shared" si="1"/>
        <v>0.15660000000000002</v>
      </c>
      <c r="G35" s="9">
        <f t="shared" si="2"/>
        <v>14922183</v>
      </c>
      <c r="H35" s="9">
        <f t="shared" si="3"/>
        <v>716295411</v>
      </c>
    </row>
    <row r="36" spans="1:8" ht="15" customHeight="1" x14ac:dyDescent="0.3">
      <c r="A36" s="11">
        <v>46083</v>
      </c>
      <c r="B36" s="12">
        <v>110</v>
      </c>
      <c r="C36" s="13">
        <v>266024413</v>
      </c>
      <c r="D36" s="13">
        <v>149839755</v>
      </c>
      <c r="E36" s="14">
        <f t="shared" si="0"/>
        <v>0.1116</v>
      </c>
      <c r="F36" s="14">
        <f t="shared" si="1"/>
        <v>0.15660000000000002</v>
      </c>
      <c r="G36" s="13">
        <f t="shared" si="2"/>
        <v>12554895</v>
      </c>
      <c r="H36" s="13">
        <f t="shared" si="3"/>
        <v>728850306</v>
      </c>
    </row>
    <row r="37" spans="1:8" ht="15" customHeight="1" x14ac:dyDescent="0.3">
      <c r="A37" s="7">
        <v>46084</v>
      </c>
      <c r="B37" s="8">
        <v>111</v>
      </c>
      <c r="C37" s="9">
        <v>116184658</v>
      </c>
      <c r="D37" s="9">
        <v>35000000</v>
      </c>
      <c r="E37" s="10">
        <f t="shared" si="0"/>
        <v>0.1116</v>
      </c>
      <c r="F37" s="10">
        <f t="shared" si="1"/>
        <v>0.15660000000000002</v>
      </c>
      <c r="G37" s="9">
        <f t="shared" si="2"/>
        <v>5533127</v>
      </c>
      <c r="H37" s="9">
        <f t="shared" si="3"/>
        <v>734383433</v>
      </c>
    </row>
    <row r="38" spans="1:8" ht="15" customHeight="1" x14ac:dyDescent="0.3">
      <c r="A38" s="11">
        <v>46097</v>
      </c>
      <c r="B38" s="12">
        <v>124</v>
      </c>
      <c r="C38" s="13">
        <v>81184658</v>
      </c>
      <c r="D38" s="13">
        <v>81184659</v>
      </c>
      <c r="E38" s="14">
        <f t="shared" si="0"/>
        <v>0.1116</v>
      </c>
      <c r="F38" s="14">
        <f t="shared" si="1"/>
        <v>0.15660000000000002</v>
      </c>
      <c r="G38" s="13">
        <f t="shared" si="2"/>
        <v>4319113</v>
      </c>
      <c r="H38" s="13">
        <f t="shared" si="3"/>
        <v>738702546</v>
      </c>
    </row>
    <row r="39" spans="1:8" ht="18" customHeight="1" x14ac:dyDescent="0.3">
      <c r="A39" s="15" t="s">
        <v>26</v>
      </c>
      <c r="B39" s="16"/>
      <c r="C39" s="17">
        <f>SUM(C15:C38)</f>
        <v>21078816342</v>
      </c>
      <c r="D39" s="17">
        <f>SUM(D15:D38)</f>
        <v>1436030094</v>
      </c>
      <c r="E39" s="16"/>
      <c r="F39" s="16"/>
      <c r="G39" s="17">
        <f>SUM(G15:G38)</f>
        <v>738702546</v>
      </c>
      <c r="H39" s="16"/>
    </row>
    <row r="41" spans="1:8" ht="30" customHeight="1" x14ac:dyDescent="0.3">
      <c r="A41" s="45" t="s">
        <v>27</v>
      </c>
      <c r="B41" s="45"/>
      <c r="C41" s="45"/>
      <c r="D41" s="45"/>
      <c r="E41" s="45"/>
      <c r="F41" s="45"/>
      <c r="G41" s="45"/>
      <c r="H41" s="45"/>
    </row>
  </sheetData>
  <mergeCells count="10">
    <mergeCell ref="A1:H1"/>
    <mergeCell ref="A2:H2"/>
    <mergeCell ref="A4:H4"/>
    <mergeCell ref="C5:H5"/>
    <mergeCell ref="C8:H8"/>
    <mergeCell ref="C9:H9"/>
    <mergeCell ref="C10:H10"/>
    <mergeCell ref="C11:H11"/>
    <mergeCell ref="C12:H12"/>
    <mergeCell ref="A41:H4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S21"/>
  <sheetViews>
    <sheetView zoomScaleNormal="100" workbookViewId="0"/>
  </sheetViews>
  <sheetFormatPr defaultColWidth="8.6640625" defaultRowHeight="14.4" x14ac:dyDescent="0.3"/>
  <cols>
    <col min="1" max="1" width="28" customWidth="1"/>
    <col min="2" max="19" width="14" customWidth="1"/>
  </cols>
  <sheetData>
    <row r="1" spans="1:19" ht="15.75" customHeight="1" x14ac:dyDescent="0.3">
      <c r="A1" s="49" t="s">
        <v>28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19" ht="15" customHeight="1" x14ac:dyDescent="0.3">
      <c r="A2" s="50" t="s">
        <v>29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</row>
    <row r="4" spans="1:19" ht="15" customHeight="1" x14ac:dyDescent="0.3">
      <c r="A4" t="s">
        <v>30</v>
      </c>
      <c r="B4" s="18">
        <v>0.1116</v>
      </c>
      <c r="C4" t="s">
        <v>31</v>
      </c>
      <c r="D4" s="18">
        <v>4.4999999999999998E-2</v>
      </c>
      <c r="E4" t="s">
        <v>32</v>
      </c>
      <c r="F4" s="19">
        <f>B4+D4</f>
        <v>0.15660000000000002</v>
      </c>
    </row>
    <row r="6" spans="1:19" ht="27.75" customHeight="1" x14ac:dyDescent="0.3">
      <c r="A6" s="20" t="s">
        <v>33</v>
      </c>
      <c r="B6" s="21" t="s">
        <v>34</v>
      </c>
      <c r="C6" s="21" t="s">
        <v>35</v>
      </c>
      <c r="D6" s="21" t="s">
        <v>36</v>
      </c>
      <c r="E6" s="21" t="s">
        <v>37</v>
      </c>
      <c r="F6" s="21" t="s">
        <v>38</v>
      </c>
      <c r="G6" s="21" t="s">
        <v>39</v>
      </c>
      <c r="H6" s="21" t="s">
        <v>40</v>
      </c>
      <c r="I6" s="21" t="s">
        <v>41</v>
      </c>
      <c r="J6" s="21" t="s">
        <v>42</v>
      </c>
      <c r="K6" s="21" t="s">
        <v>43</v>
      </c>
      <c r="L6" s="21" t="s">
        <v>44</v>
      </c>
      <c r="M6" s="21" t="s">
        <v>45</v>
      </c>
      <c r="N6" s="21" t="s">
        <v>46</v>
      </c>
      <c r="O6" s="21" t="s">
        <v>47</v>
      </c>
      <c r="P6" s="21" t="s">
        <v>48</v>
      </c>
      <c r="Q6" s="21" t="s">
        <v>49</v>
      </c>
      <c r="R6" s="21" t="s">
        <v>50</v>
      </c>
      <c r="S6" s="21" t="s">
        <v>51</v>
      </c>
    </row>
    <row r="7" spans="1:19" ht="15.75" customHeight="1" x14ac:dyDescent="0.3">
      <c r="A7" s="22">
        <v>19845435</v>
      </c>
      <c r="B7" s="9">
        <f t="shared" ref="B7:B21" si="0">ROUND(A7*$F$4*30/365,0)</f>
        <v>255435</v>
      </c>
      <c r="C7" s="9">
        <f t="shared" ref="C7:C21" si="1">ROUND(A7*$F$4*60/365,0)</f>
        <v>510870</v>
      </c>
      <c r="D7" s="9">
        <f t="shared" ref="D7:D21" si="2">ROUND(A7*$F$4*90/365,0)</f>
        <v>766306</v>
      </c>
      <c r="E7" s="9">
        <f t="shared" ref="E7:E21" si="3">ROUND(A7*$F$4*120/365,0)</f>
        <v>1021741</v>
      </c>
      <c r="F7" s="9">
        <f t="shared" ref="F7:F21" si="4">ROUND(A7*$F$4*150/365,0)</f>
        <v>1277176</v>
      </c>
      <c r="G7" s="9">
        <f t="shared" ref="G7:G21" si="5">ROUND(A7*$F$4*180/365,0)</f>
        <v>1532611</v>
      </c>
      <c r="H7" s="9">
        <f t="shared" ref="H7:H21" si="6">ROUND(A7*$F$4*270/365,0)</f>
        <v>2298917</v>
      </c>
      <c r="I7" s="9">
        <f t="shared" ref="I7:I21" si="7">ROUND(A7*$F$4*360/365,0)</f>
        <v>3065223</v>
      </c>
      <c r="J7" s="9">
        <f t="shared" ref="J7:J21" si="8">ROUND(A7*$F$4*450/365,0)</f>
        <v>3831528</v>
      </c>
      <c r="K7" s="9">
        <f t="shared" ref="K7:K21" si="9">ROUND(A7*$F$4*540/365,0)</f>
        <v>4597834</v>
      </c>
      <c r="L7" s="9">
        <f t="shared" ref="L7:L21" si="10">ROUND(A7*$F$4*630/365,0)</f>
        <v>5364140</v>
      </c>
      <c r="M7" s="9">
        <f t="shared" ref="M7:M21" si="11">ROUND(A7*$F$4*720/365,0)</f>
        <v>6130445</v>
      </c>
      <c r="N7" s="9">
        <f t="shared" ref="N7:N21" si="12">ROUND(A7*$F$4*900/365,0)</f>
        <v>7663056</v>
      </c>
      <c r="O7" s="9">
        <f t="shared" ref="O7:O21" si="13">ROUND(A7*$F$4*1080/365,0)</f>
        <v>9195668</v>
      </c>
      <c r="P7" s="9">
        <f t="shared" ref="P7:P21" si="14">ROUND(A7*$F$4*1260/365,0)</f>
        <v>10728279</v>
      </c>
      <c r="Q7" s="9">
        <f t="shared" ref="Q7:Q21" si="15">ROUND(A7*$F$4*1440/365,0)</f>
        <v>12260890</v>
      </c>
      <c r="R7" s="9">
        <f t="shared" ref="R7:R21" si="16">ROUND(A7*$F$4*1620/365,0)</f>
        <v>13793502</v>
      </c>
      <c r="S7" s="9">
        <f t="shared" ref="S7:S21" si="17">ROUND(A7*$F$4*1800/365,0)</f>
        <v>15326113</v>
      </c>
    </row>
    <row r="8" spans="1:19" ht="15.75" customHeight="1" x14ac:dyDescent="0.3">
      <c r="A8" s="22">
        <v>25000000</v>
      </c>
      <c r="B8" s="13">
        <f t="shared" si="0"/>
        <v>321781</v>
      </c>
      <c r="C8" s="13">
        <f t="shared" si="1"/>
        <v>643562</v>
      </c>
      <c r="D8" s="13">
        <f t="shared" si="2"/>
        <v>965342</v>
      </c>
      <c r="E8" s="13">
        <f t="shared" si="3"/>
        <v>1287123</v>
      </c>
      <c r="F8" s="13">
        <f t="shared" si="4"/>
        <v>1608904</v>
      </c>
      <c r="G8" s="13">
        <f t="shared" si="5"/>
        <v>1930685</v>
      </c>
      <c r="H8" s="13">
        <f t="shared" si="6"/>
        <v>2896027</v>
      </c>
      <c r="I8" s="13">
        <f t="shared" si="7"/>
        <v>3861370</v>
      </c>
      <c r="J8" s="13">
        <f t="shared" si="8"/>
        <v>4826712</v>
      </c>
      <c r="K8" s="13">
        <f t="shared" si="9"/>
        <v>5792055</v>
      </c>
      <c r="L8" s="13">
        <f t="shared" si="10"/>
        <v>6757397</v>
      </c>
      <c r="M8" s="13">
        <f t="shared" si="11"/>
        <v>7722740</v>
      </c>
      <c r="N8" s="13">
        <f t="shared" si="12"/>
        <v>9653425</v>
      </c>
      <c r="O8" s="13">
        <f t="shared" si="13"/>
        <v>11584110</v>
      </c>
      <c r="P8" s="13">
        <f t="shared" si="14"/>
        <v>13514795</v>
      </c>
      <c r="Q8" s="13">
        <f t="shared" si="15"/>
        <v>15445479</v>
      </c>
      <c r="R8" s="13">
        <f t="shared" si="16"/>
        <v>17376164</v>
      </c>
      <c r="S8" s="13">
        <f t="shared" si="17"/>
        <v>19306849</v>
      </c>
    </row>
    <row r="9" spans="1:19" ht="15.75" customHeight="1" x14ac:dyDescent="0.3">
      <c r="A9" s="22">
        <v>50000000</v>
      </c>
      <c r="B9" s="9">
        <f t="shared" si="0"/>
        <v>643562</v>
      </c>
      <c r="C9" s="9">
        <f t="shared" si="1"/>
        <v>1287123</v>
      </c>
      <c r="D9" s="9">
        <f t="shared" si="2"/>
        <v>1930685</v>
      </c>
      <c r="E9" s="9">
        <f t="shared" si="3"/>
        <v>2574247</v>
      </c>
      <c r="F9" s="9">
        <f t="shared" si="4"/>
        <v>3217808</v>
      </c>
      <c r="G9" s="9">
        <f t="shared" si="5"/>
        <v>3861370</v>
      </c>
      <c r="H9" s="9">
        <f t="shared" si="6"/>
        <v>5792055</v>
      </c>
      <c r="I9" s="9">
        <f t="shared" si="7"/>
        <v>7722740</v>
      </c>
      <c r="J9" s="9">
        <f t="shared" si="8"/>
        <v>9653425</v>
      </c>
      <c r="K9" s="9">
        <f t="shared" si="9"/>
        <v>11584110</v>
      </c>
      <c r="L9" s="9">
        <f t="shared" si="10"/>
        <v>13514795</v>
      </c>
      <c r="M9" s="9">
        <f t="shared" si="11"/>
        <v>15445479</v>
      </c>
      <c r="N9" s="9">
        <f t="shared" si="12"/>
        <v>19306849</v>
      </c>
      <c r="O9" s="9">
        <f t="shared" si="13"/>
        <v>23168219</v>
      </c>
      <c r="P9" s="9">
        <f t="shared" si="14"/>
        <v>27029589</v>
      </c>
      <c r="Q9" s="9">
        <f t="shared" si="15"/>
        <v>30890959</v>
      </c>
      <c r="R9" s="9">
        <f t="shared" si="16"/>
        <v>34752329</v>
      </c>
      <c r="S9" s="9">
        <f t="shared" si="17"/>
        <v>38613699</v>
      </c>
    </row>
    <row r="10" spans="1:19" ht="15.75" customHeight="1" x14ac:dyDescent="0.3">
      <c r="A10" s="22">
        <v>75000000</v>
      </c>
      <c r="B10" s="13">
        <f t="shared" si="0"/>
        <v>965342</v>
      </c>
      <c r="C10" s="13">
        <f t="shared" si="1"/>
        <v>1930685</v>
      </c>
      <c r="D10" s="13">
        <f t="shared" si="2"/>
        <v>2896027</v>
      </c>
      <c r="E10" s="13">
        <f t="shared" si="3"/>
        <v>3861370</v>
      </c>
      <c r="F10" s="13">
        <f t="shared" si="4"/>
        <v>4826712</v>
      </c>
      <c r="G10" s="13">
        <f t="shared" si="5"/>
        <v>5792055</v>
      </c>
      <c r="H10" s="13">
        <f t="shared" si="6"/>
        <v>8688082</v>
      </c>
      <c r="I10" s="13">
        <f t="shared" si="7"/>
        <v>11584110</v>
      </c>
      <c r="J10" s="13">
        <f t="shared" si="8"/>
        <v>14480137</v>
      </c>
      <c r="K10" s="13">
        <f t="shared" si="9"/>
        <v>17376164</v>
      </c>
      <c r="L10" s="13">
        <f t="shared" si="10"/>
        <v>20272192</v>
      </c>
      <c r="M10" s="13">
        <f t="shared" si="11"/>
        <v>23168219</v>
      </c>
      <c r="N10" s="13">
        <f t="shared" si="12"/>
        <v>28960274</v>
      </c>
      <c r="O10" s="13">
        <f t="shared" si="13"/>
        <v>34752329</v>
      </c>
      <c r="P10" s="13">
        <f t="shared" si="14"/>
        <v>40544384</v>
      </c>
      <c r="Q10" s="13">
        <f t="shared" si="15"/>
        <v>46336438</v>
      </c>
      <c r="R10" s="13">
        <f t="shared" si="16"/>
        <v>52128493</v>
      </c>
      <c r="S10" s="13">
        <f t="shared" si="17"/>
        <v>57920548</v>
      </c>
    </row>
    <row r="11" spans="1:19" ht="15.75" customHeight="1" x14ac:dyDescent="0.3">
      <c r="A11" s="22">
        <v>100000000</v>
      </c>
      <c r="B11" s="9">
        <f t="shared" si="0"/>
        <v>1287123</v>
      </c>
      <c r="C11" s="9">
        <f t="shared" si="1"/>
        <v>2574247</v>
      </c>
      <c r="D11" s="9">
        <f t="shared" si="2"/>
        <v>3861370</v>
      </c>
      <c r="E11" s="9">
        <f t="shared" si="3"/>
        <v>5148493</v>
      </c>
      <c r="F11" s="9">
        <f t="shared" si="4"/>
        <v>6435616</v>
      </c>
      <c r="G11" s="9">
        <f t="shared" si="5"/>
        <v>7722740</v>
      </c>
      <c r="H11" s="9">
        <f t="shared" si="6"/>
        <v>11584110</v>
      </c>
      <c r="I11" s="9">
        <f t="shared" si="7"/>
        <v>15445479</v>
      </c>
      <c r="J11" s="9">
        <f t="shared" si="8"/>
        <v>19306849</v>
      </c>
      <c r="K11" s="9">
        <f t="shared" si="9"/>
        <v>23168219</v>
      </c>
      <c r="L11" s="9">
        <f t="shared" si="10"/>
        <v>27029589</v>
      </c>
      <c r="M11" s="9">
        <f t="shared" si="11"/>
        <v>30890959</v>
      </c>
      <c r="N11" s="9">
        <f t="shared" si="12"/>
        <v>38613699</v>
      </c>
      <c r="O11" s="9">
        <f t="shared" si="13"/>
        <v>46336438</v>
      </c>
      <c r="P11" s="9">
        <f t="shared" si="14"/>
        <v>54059178</v>
      </c>
      <c r="Q11" s="9">
        <f t="shared" si="15"/>
        <v>61781918</v>
      </c>
      <c r="R11" s="9">
        <f t="shared" si="16"/>
        <v>69504658</v>
      </c>
      <c r="S11" s="9">
        <f t="shared" si="17"/>
        <v>77227397</v>
      </c>
    </row>
    <row r="12" spans="1:19" ht="15.75" customHeight="1" x14ac:dyDescent="0.3">
      <c r="A12" s="22">
        <v>125000000</v>
      </c>
      <c r="B12" s="13">
        <f t="shared" si="0"/>
        <v>1608904</v>
      </c>
      <c r="C12" s="13">
        <f t="shared" si="1"/>
        <v>3217808</v>
      </c>
      <c r="D12" s="13">
        <f t="shared" si="2"/>
        <v>4826712</v>
      </c>
      <c r="E12" s="13">
        <f t="shared" si="3"/>
        <v>6435616</v>
      </c>
      <c r="F12" s="13">
        <f t="shared" si="4"/>
        <v>8044521</v>
      </c>
      <c r="G12" s="13">
        <f t="shared" si="5"/>
        <v>9653425</v>
      </c>
      <c r="H12" s="13">
        <f t="shared" si="6"/>
        <v>14480137</v>
      </c>
      <c r="I12" s="13">
        <f t="shared" si="7"/>
        <v>19306849</v>
      </c>
      <c r="J12" s="13">
        <f t="shared" si="8"/>
        <v>24133562</v>
      </c>
      <c r="K12" s="13">
        <f t="shared" si="9"/>
        <v>28960274</v>
      </c>
      <c r="L12" s="13">
        <f t="shared" si="10"/>
        <v>33786986</v>
      </c>
      <c r="M12" s="13">
        <f t="shared" si="11"/>
        <v>38613699</v>
      </c>
      <c r="N12" s="13">
        <f t="shared" si="12"/>
        <v>48267123</v>
      </c>
      <c r="O12" s="13">
        <f t="shared" si="13"/>
        <v>57920548</v>
      </c>
      <c r="P12" s="13">
        <f t="shared" si="14"/>
        <v>67573973</v>
      </c>
      <c r="Q12" s="13">
        <f t="shared" si="15"/>
        <v>77227397</v>
      </c>
      <c r="R12" s="13">
        <f t="shared" si="16"/>
        <v>86880822</v>
      </c>
      <c r="S12" s="13">
        <f t="shared" si="17"/>
        <v>96534247</v>
      </c>
    </row>
    <row r="13" spans="1:19" ht="15.75" customHeight="1" x14ac:dyDescent="0.3">
      <c r="A13" s="22">
        <v>150000000</v>
      </c>
      <c r="B13" s="9">
        <f t="shared" si="0"/>
        <v>1930685</v>
      </c>
      <c r="C13" s="9">
        <f t="shared" si="1"/>
        <v>3861370</v>
      </c>
      <c r="D13" s="9">
        <f t="shared" si="2"/>
        <v>5792055</v>
      </c>
      <c r="E13" s="9">
        <f t="shared" si="3"/>
        <v>7722740</v>
      </c>
      <c r="F13" s="9">
        <f t="shared" si="4"/>
        <v>9653425</v>
      </c>
      <c r="G13" s="9">
        <f t="shared" si="5"/>
        <v>11584110</v>
      </c>
      <c r="H13" s="9">
        <f t="shared" si="6"/>
        <v>17376164</v>
      </c>
      <c r="I13" s="9">
        <f t="shared" si="7"/>
        <v>23168219</v>
      </c>
      <c r="J13" s="9">
        <f t="shared" si="8"/>
        <v>28960274</v>
      </c>
      <c r="K13" s="9">
        <f t="shared" si="9"/>
        <v>34752329</v>
      </c>
      <c r="L13" s="9">
        <f t="shared" si="10"/>
        <v>40544384</v>
      </c>
      <c r="M13" s="9">
        <f t="shared" si="11"/>
        <v>46336438</v>
      </c>
      <c r="N13" s="9">
        <f t="shared" si="12"/>
        <v>57920548</v>
      </c>
      <c r="O13" s="9">
        <f t="shared" si="13"/>
        <v>69504658</v>
      </c>
      <c r="P13" s="9">
        <f t="shared" si="14"/>
        <v>81088767</v>
      </c>
      <c r="Q13" s="9">
        <f t="shared" si="15"/>
        <v>92672877</v>
      </c>
      <c r="R13" s="9">
        <f t="shared" si="16"/>
        <v>104256986</v>
      </c>
      <c r="S13" s="9">
        <f t="shared" si="17"/>
        <v>115841096</v>
      </c>
    </row>
    <row r="14" spans="1:19" ht="15.75" customHeight="1" x14ac:dyDescent="0.3">
      <c r="A14" s="22">
        <v>200000000</v>
      </c>
      <c r="B14" s="13">
        <f t="shared" si="0"/>
        <v>2574247</v>
      </c>
      <c r="C14" s="13">
        <f t="shared" si="1"/>
        <v>5148493</v>
      </c>
      <c r="D14" s="13">
        <f t="shared" si="2"/>
        <v>7722740</v>
      </c>
      <c r="E14" s="13">
        <f t="shared" si="3"/>
        <v>10296986</v>
      </c>
      <c r="F14" s="13">
        <f t="shared" si="4"/>
        <v>12871233</v>
      </c>
      <c r="G14" s="13">
        <f t="shared" si="5"/>
        <v>15445479</v>
      </c>
      <c r="H14" s="13">
        <f t="shared" si="6"/>
        <v>23168219</v>
      </c>
      <c r="I14" s="13">
        <f t="shared" si="7"/>
        <v>30890959</v>
      </c>
      <c r="J14" s="13">
        <f t="shared" si="8"/>
        <v>38613699</v>
      </c>
      <c r="K14" s="13">
        <f t="shared" si="9"/>
        <v>46336438</v>
      </c>
      <c r="L14" s="13">
        <f t="shared" si="10"/>
        <v>54059178</v>
      </c>
      <c r="M14" s="13">
        <f t="shared" si="11"/>
        <v>61781918</v>
      </c>
      <c r="N14" s="13">
        <f t="shared" si="12"/>
        <v>77227397</v>
      </c>
      <c r="O14" s="13">
        <f t="shared" si="13"/>
        <v>92672877</v>
      </c>
      <c r="P14" s="13">
        <f t="shared" si="14"/>
        <v>108118356</v>
      </c>
      <c r="Q14" s="13">
        <f t="shared" si="15"/>
        <v>123563836</v>
      </c>
      <c r="R14" s="13">
        <f t="shared" si="16"/>
        <v>139009315</v>
      </c>
      <c r="S14" s="13">
        <f t="shared" si="17"/>
        <v>154454795</v>
      </c>
    </row>
    <row r="15" spans="1:19" ht="15.75" customHeight="1" x14ac:dyDescent="0.3">
      <c r="A15" s="22">
        <v>250000000</v>
      </c>
      <c r="B15" s="9">
        <f t="shared" si="0"/>
        <v>3217808</v>
      </c>
      <c r="C15" s="9">
        <f t="shared" si="1"/>
        <v>6435616</v>
      </c>
      <c r="D15" s="9">
        <f t="shared" si="2"/>
        <v>9653425</v>
      </c>
      <c r="E15" s="9">
        <f t="shared" si="3"/>
        <v>12871233</v>
      </c>
      <c r="F15" s="9">
        <f t="shared" si="4"/>
        <v>16089041</v>
      </c>
      <c r="G15" s="9">
        <f t="shared" si="5"/>
        <v>19306849</v>
      </c>
      <c r="H15" s="9">
        <f t="shared" si="6"/>
        <v>28960274</v>
      </c>
      <c r="I15" s="9">
        <f t="shared" si="7"/>
        <v>38613699</v>
      </c>
      <c r="J15" s="9">
        <f t="shared" si="8"/>
        <v>48267123</v>
      </c>
      <c r="K15" s="9">
        <f t="shared" si="9"/>
        <v>57920548</v>
      </c>
      <c r="L15" s="9">
        <f t="shared" si="10"/>
        <v>67573973</v>
      </c>
      <c r="M15" s="9">
        <f t="shared" si="11"/>
        <v>77227397</v>
      </c>
      <c r="N15" s="9">
        <f t="shared" si="12"/>
        <v>96534247</v>
      </c>
      <c r="O15" s="9">
        <f t="shared" si="13"/>
        <v>115841096</v>
      </c>
      <c r="P15" s="9">
        <f t="shared" si="14"/>
        <v>135147945</v>
      </c>
      <c r="Q15" s="9">
        <f t="shared" si="15"/>
        <v>154454795</v>
      </c>
      <c r="R15" s="9">
        <f t="shared" si="16"/>
        <v>173761644</v>
      </c>
      <c r="S15" s="9">
        <f t="shared" si="17"/>
        <v>193068493</v>
      </c>
    </row>
    <row r="16" spans="1:19" ht="15.75" customHeight="1" x14ac:dyDescent="0.3">
      <c r="A16" s="22">
        <v>300000000</v>
      </c>
      <c r="B16" s="13">
        <f t="shared" si="0"/>
        <v>3861370</v>
      </c>
      <c r="C16" s="13">
        <f t="shared" si="1"/>
        <v>7722740</v>
      </c>
      <c r="D16" s="13">
        <f t="shared" si="2"/>
        <v>11584110</v>
      </c>
      <c r="E16" s="13">
        <f t="shared" si="3"/>
        <v>15445479</v>
      </c>
      <c r="F16" s="13">
        <f t="shared" si="4"/>
        <v>19306849</v>
      </c>
      <c r="G16" s="13">
        <f t="shared" si="5"/>
        <v>23168219</v>
      </c>
      <c r="H16" s="13">
        <f t="shared" si="6"/>
        <v>34752329</v>
      </c>
      <c r="I16" s="13">
        <f t="shared" si="7"/>
        <v>46336438</v>
      </c>
      <c r="J16" s="13">
        <f t="shared" si="8"/>
        <v>57920548</v>
      </c>
      <c r="K16" s="13">
        <f t="shared" si="9"/>
        <v>69504658</v>
      </c>
      <c r="L16" s="13">
        <f t="shared" si="10"/>
        <v>81088767</v>
      </c>
      <c r="M16" s="13">
        <f t="shared" si="11"/>
        <v>92672877</v>
      </c>
      <c r="N16" s="13">
        <f t="shared" si="12"/>
        <v>115841096</v>
      </c>
      <c r="O16" s="13">
        <f t="shared" si="13"/>
        <v>139009315</v>
      </c>
      <c r="P16" s="13">
        <f t="shared" si="14"/>
        <v>162177534</v>
      </c>
      <c r="Q16" s="13">
        <f t="shared" si="15"/>
        <v>185345753</v>
      </c>
      <c r="R16" s="13">
        <f t="shared" si="16"/>
        <v>208513973</v>
      </c>
      <c r="S16" s="13">
        <f t="shared" si="17"/>
        <v>231682192</v>
      </c>
    </row>
    <row r="17" spans="1:19" ht="15.75" customHeight="1" x14ac:dyDescent="0.3">
      <c r="A17" s="22">
        <v>400000000</v>
      </c>
      <c r="B17" s="9">
        <f t="shared" si="0"/>
        <v>5148493</v>
      </c>
      <c r="C17" s="9">
        <f t="shared" si="1"/>
        <v>10296986</v>
      </c>
      <c r="D17" s="9">
        <f t="shared" si="2"/>
        <v>15445479</v>
      </c>
      <c r="E17" s="9">
        <f t="shared" si="3"/>
        <v>20593973</v>
      </c>
      <c r="F17" s="9">
        <f t="shared" si="4"/>
        <v>25742466</v>
      </c>
      <c r="G17" s="9">
        <f t="shared" si="5"/>
        <v>30890959</v>
      </c>
      <c r="H17" s="9">
        <f t="shared" si="6"/>
        <v>46336438</v>
      </c>
      <c r="I17" s="9">
        <f t="shared" si="7"/>
        <v>61781918</v>
      </c>
      <c r="J17" s="9">
        <f t="shared" si="8"/>
        <v>77227397</v>
      </c>
      <c r="K17" s="9">
        <f t="shared" si="9"/>
        <v>92672877</v>
      </c>
      <c r="L17" s="9">
        <f t="shared" si="10"/>
        <v>108118356</v>
      </c>
      <c r="M17" s="9">
        <f t="shared" si="11"/>
        <v>123563836</v>
      </c>
      <c r="N17" s="9">
        <f t="shared" si="12"/>
        <v>154454795</v>
      </c>
      <c r="O17" s="9">
        <f t="shared" si="13"/>
        <v>185345753</v>
      </c>
      <c r="P17" s="9">
        <f t="shared" si="14"/>
        <v>216236712</v>
      </c>
      <c r="Q17" s="9">
        <f t="shared" si="15"/>
        <v>247127671</v>
      </c>
      <c r="R17" s="9">
        <f t="shared" si="16"/>
        <v>278018630</v>
      </c>
      <c r="S17" s="9">
        <f t="shared" si="17"/>
        <v>308909589</v>
      </c>
    </row>
    <row r="18" spans="1:19" ht="15.75" customHeight="1" x14ac:dyDescent="0.3">
      <c r="A18" s="22">
        <v>500000000</v>
      </c>
      <c r="B18" s="13">
        <f t="shared" si="0"/>
        <v>6435616</v>
      </c>
      <c r="C18" s="13">
        <f t="shared" si="1"/>
        <v>12871233</v>
      </c>
      <c r="D18" s="13">
        <f t="shared" si="2"/>
        <v>19306849</v>
      </c>
      <c r="E18" s="13">
        <f t="shared" si="3"/>
        <v>25742466</v>
      </c>
      <c r="F18" s="13">
        <f t="shared" si="4"/>
        <v>32178082</v>
      </c>
      <c r="G18" s="13">
        <f t="shared" si="5"/>
        <v>38613699</v>
      </c>
      <c r="H18" s="13">
        <f t="shared" si="6"/>
        <v>57920548</v>
      </c>
      <c r="I18" s="13">
        <f t="shared" si="7"/>
        <v>77227397</v>
      </c>
      <c r="J18" s="13">
        <f t="shared" si="8"/>
        <v>96534247</v>
      </c>
      <c r="K18" s="13">
        <f t="shared" si="9"/>
        <v>115841096</v>
      </c>
      <c r="L18" s="13">
        <f t="shared" si="10"/>
        <v>135147945</v>
      </c>
      <c r="M18" s="13">
        <f t="shared" si="11"/>
        <v>154454795</v>
      </c>
      <c r="N18" s="13">
        <f t="shared" si="12"/>
        <v>193068493</v>
      </c>
      <c r="O18" s="13">
        <f t="shared" si="13"/>
        <v>231682192</v>
      </c>
      <c r="P18" s="13">
        <f t="shared" si="14"/>
        <v>270295890</v>
      </c>
      <c r="Q18" s="13">
        <f t="shared" si="15"/>
        <v>308909589</v>
      </c>
      <c r="R18" s="13">
        <f t="shared" si="16"/>
        <v>347523288</v>
      </c>
      <c r="S18" s="13">
        <f t="shared" si="17"/>
        <v>386136986</v>
      </c>
    </row>
    <row r="19" spans="1:19" ht="15.75" customHeight="1" x14ac:dyDescent="0.3">
      <c r="A19" s="22">
        <v>750000000</v>
      </c>
      <c r="B19" s="9">
        <f t="shared" si="0"/>
        <v>9653425</v>
      </c>
      <c r="C19" s="9">
        <f t="shared" si="1"/>
        <v>19306849</v>
      </c>
      <c r="D19" s="9">
        <f t="shared" si="2"/>
        <v>28960274</v>
      </c>
      <c r="E19" s="9">
        <f t="shared" si="3"/>
        <v>38613699</v>
      </c>
      <c r="F19" s="9">
        <f t="shared" si="4"/>
        <v>48267123</v>
      </c>
      <c r="G19" s="9">
        <f t="shared" si="5"/>
        <v>57920548</v>
      </c>
      <c r="H19" s="9">
        <f t="shared" si="6"/>
        <v>86880822</v>
      </c>
      <c r="I19" s="9">
        <f t="shared" si="7"/>
        <v>115841096</v>
      </c>
      <c r="J19" s="9">
        <f t="shared" si="8"/>
        <v>144801370</v>
      </c>
      <c r="K19" s="9">
        <f t="shared" si="9"/>
        <v>173761644</v>
      </c>
      <c r="L19" s="9">
        <f t="shared" si="10"/>
        <v>202721918</v>
      </c>
      <c r="M19" s="9">
        <f t="shared" si="11"/>
        <v>231682192</v>
      </c>
      <c r="N19" s="9">
        <f t="shared" si="12"/>
        <v>289602740</v>
      </c>
      <c r="O19" s="9">
        <f t="shared" si="13"/>
        <v>347523288</v>
      </c>
      <c r="P19" s="9">
        <f t="shared" si="14"/>
        <v>405443836</v>
      </c>
      <c r="Q19" s="9">
        <f t="shared" si="15"/>
        <v>463364384</v>
      </c>
      <c r="R19" s="9">
        <f t="shared" si="16"/>
        <v>521284932</v>
      </c>
      <c r="S19" s="9">
        <f t="shared" si="17"/>
        <v>579205479</v>
      </c>
    </row>
    <row r="20" spans="1:19" ht="15.75" customHeight="1" x14ac:dyDescent="0.3">
      <c r="A20" s="22">
        <v>1000000000</v>
      </c>
      <c r="B20" s="13">
        <f t="shared" si="0"/>
        <v>12871233</v>
      </c>
      <c r="C20" s="13">
        <f t="shared" si="1"/>
        <v>25742466</v>
      </c>
      <c r="D20" s="13">
        <f t="shared" si="2"/>
        <v>38613699</v>
      </c>
      <c r="E20" s="13">
        <f t="shared" si="3"/>
        <v>51484932</v>
      </c>
      <c r="F20" s="13">
        <f t="shared" si="4"/>
        <v>64356164</v>
      </c>
      <c r="G20" s="13">
        <f t="shared" si="5"/>
        <v>77227397</v>
      </c>
      <c r="H20" s="13">
        <f t="shared" si="6"/>
        <v>115841096</v>
      </c>
      <c r="I20" s="13">
        <f t="shared" si="7"/>
        <v>154454795</v>
      </c>
      <c r="J20" s="13">
        <f t="shared" si="8"/>
        <v>193068493</v>
      </c>
      <c r="K20" s="13">
        <f t="shared" si="9"/>
        <v>231682192</v>
      </c>
      <c r="L20" s="13">
        <f t="shared" si="10"/>
        <v>270295890</v>
      </c>
      <c r="M20" s="13">
        <f t="shared" si="11"/>
        <v>308909589</v>
      </c>
      <c r="N20" s="13">
        <f t="shared" si="12"/>
        <v>386136986</v>
      </c>
      <c r="O20" s="13">
        <f t="shared" si="13"/>
        <v>463364384</v>
      </c>
      <c r="P20" s="13">
        <f t="shared" si="14"/>
        <v>540591781</v>
      </c>
      <c r="Q20" s="13">
        <f t="shared" si="15"/>
        <v>617819178</v>
      </c>
      <c r="R20" s="13">
        <f t="shared" si="16"/>
        <v>695046575</v>
      </c>
      <c r="S20" s="13">
        <f t="shared" si="17"/>
        <v>772273973</v>
      </c>
    </row>
    <row r="21" spans="1:19" ht="15.75" customHeight="1" x14ac:dyDescent="0.3">
      <c r="A21" s="22">
        <v>1436030094</v>
      </c>
      <c r="B21" s="9">
        <f t="shared" si="0"/>
        <v>18483478</v>
      </c>
      <c r="C21" s="9">
        <f t="shared" si="1"/>
        <v>36966956</v>
      </c>
      <c r="D21" s="9">
        <f t="shared" si="2"/>
        <v>55450433</v>
      </c>
      <c r="E21" s="9">
        <f t="shared" si="3"/>
        <v>73933911</v>
      </c>
      <c r="F21" s="9">
        <f t="shared" si="4"/>
        <v>92417389</v>
      </c>
      <c r="G21" s="9">
        <f t="shared" si="5"/>
        <v>110900867</v>
      </c>
      <c r="H21" s="9">
        <f t="shared" si="6"/>
        <v>166351300</v>
      </c>
      <c r="I21" s="9">
        <f t="shared" si="7"/>
        <v>221801733</v>
      </c>
      <c r="J21" s="9">
        <f t="shared" si="8"/>
        <v>277252166</v>
      </c>
      <c r="K21" s="9">
        <f t="shared" si="9"/>
        <v>332702600</v>
      </c>
      <c r="L21" s="9">
        <f t="shared" si="10"/>
        <v>388153033</v>
      </c>
      <c r="M21" s="9">
        <f t="shared" si="11"/>
        <v>443603466</v>
      </c>
      <c r="N21" s="9">
        <f t="shared" si="12"/>
        <v>554504333</v>
      </c>
      <c r="O21" s="9">
        <f t="shared" si="13"/>
        <v>665405199</v>
      </c>
      <c r="P21" s="9">
        <f t="shared" si="14"/>
        <v>776306066</v>
      </c>
      <c r="Q21" s="9">
        <f t="shared" si="15"/>
        <v>887206932</v>
      </c>
      <c r="R21" s="9">
        <f t="shared" si="16"/>
        <v>998107799</v>
      </c>
      <c r="S21" s="9">
        <f t="shared" si="17"/>
        <v>1109008665</v>
      </c>
    </row>
  </sheetData>
  <mergeCells count="2">
    <mergeCell ref="A1:S1"/>
    <mergeCell ref="A2:S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O23"/>
  <sheetViews>
    <sheetView zoomScaleNormal="100" workbookViewId="0"/>
  </sheetViews>
  <sheetFormatPr defaultColWidth="8.6640625" defaultRowHeight="14.4" x14ac:dyDescent="0.3"/>
  <cols>
    <col min="1" max="1" width="22" customWidth="1"/>
    <col min="2" max="2" width="26" customWidth="1"/>
    <col min="3" max="15" width="18" customWidth="1"/>
  </cols>
  <sheetData>
    <row r="1" spans="1:15" ht="15.75" customHeight="1" x14ac:dyDescent="0.3">
      <c r="A1" s="49" t="s">
        <v>52</v>
      </c>
      <c r="B1" s="49"/>
      <c r="C1" s="49"/>
      <c r="D1" s="49"/>
      <c r="E1" s="49"/>
      <c r="F1" s="49"/>
      <c r="G1" s="49"/>
      <c r="H1" s="49"/>
      <c r="I1" s="49"/>
      <c r="J1" s="49"/>
    </row>
    <row r="3" spans="1:15" ht="15" customHeight="1" x14ac:dyDescent="0.3">
      <c r="A3" t="s">
        <v>53</v>
      </c>
      <c r="B3" s="18">
        <v>0.1116</v>
      </c>
      <c r="C3" t="s">
        <v>31</v>
      </c>
      <c r="D3" s="18">
        <v>4.4999999999999998E-2</v>
      </c>
      <c r="E3" t="s">
        <v>54</v>
      </c>
      <c r="F3" s="19">
        <f>B3+D3</f>
        <v>0.15660000000000002</v>
      </c>
    </row>
    <row r="5" spans="1:15" ht="27.75" customHeight="1" x14ac:dyDescent="0.3">
      <c r="A5" s="21" t="s">
        <v>55</v>
      </c>
      <c r="B5" s="21" t="s">
        <v>56</v>
      </c>
      <c r="C5" s="23">
        <v>19845435</v>
      </c>
      <c r="D5" s="23">
        <v>25000000</v>
      </c>
      <c r="E5" s="23">
        <v>50000000</v>
      </c>
      <c r="F5" s="23">
        <v>75000000</v>
      </c>
      <c r="G5" s="23">
        <v>100000000</v>
      </c>
      <c r="H5" s="23">
        <v>125000000</v>
      </c>
      <c r="I5" s="23">
        <v>150000000</v>
      </c>
      <c r="J5" s="23">
        <v>200000000</v>
      </c>
      <c r="K5" s="23">
        <v>250000000</v>
      </c>
      <c r="L5" s="23">
        <v>500000000</v>
      </c>
      <c r="M5" s="23">
        <v>750000000</v>
      </c>
      <c r="N5" s="23">
        <v>1000000000</v>
      </c>
      <c r="O5" s="23">
        <v>1436030094</v>
      </c>
    </row>
    <row r="6" spans="1:15" ht="15.75" customHeight="1" x14ac:dyDescent="0.3">
      <c r="A6" s="24">
        <v>1</v>
      </c>
      <c r="B6" s="25">
        <v>30</v>
      </c>
      <c r="C6" s="9">
        <f>ROUND(C5*$F$3*B6/365,0)</f>
        <v>255435</v>
      </c>
      <c r="D6" s="9">
        <f>ROUND(D5*$F$3*B6/365,0)</f>
        <v>321781</v>
      </c>
      <c r="E6" s="9">
        <f>ROUND(E5*$F$3*B6/365,0)</f>
        <v>643562</v>
      </c>
      <c r="F6" s="9">
        <f>ROUND(F5*$F$3*B6/365,0)</f>
        <v>965342</v>
      </c>
      <c r="G6" s="9">
        <f>ROUND(G5*$F$3*B6/365,0)</f>
        <v>1287123</v>
      </c>
      <c r="H6" s="9">
        <f>ROUND(H5*$F$3*B6/365,0)</f>
        <v>1608904</v>
      </c>
      <c r="I6" s="9">
        <f>ROUND(I5*$F$3*B6/365,0)</f>
        <v>1930685</v>
      </c>
      <c r="J6" s="9">
        <f>ROUND(J5*$F$3*B6/365,0)</f>
        <v>2574247</v>
      </c>
      <c r="K6" s="9">
        <f>ROUND(K5*$F$3*B6/365,0)</f>
        <v>3217808</v>
      </c>
      <c r="L6" s="9">
        <f>ROUND(L5*$F$3*B6/365,0)</f>
        <v>6435616</v>
      </c>
      <c r="M6" s="9">
        <f>ROUND(M5*$F$3*B6/365,0)</f>
        <v>9653425</v>
      </c>
      <c r="N6" s="9">
        <f>ROUND(N5*$F$3*B6/365,0)</f>
        <v>12871233</v>
      </c>
      <c r="O6" s="9">
        <f>ROUND(O5*$F$3*B6/365,0)</f>
        <v>18483478</v>
      </c>
    </row>
    <row r="7" spans="1:15" ht="15.75" customHeight="1" x14ac:dyDescent="0.3">
      <c r="A7" s="24">
        <v>2</v>
      </c>
      <c r="B7" s="25">
        <v>60</v>
      </c>
      <c r="C7" s="13">
        <f>ROUND(C5*$F$3*B7/365,0)</f>
        <v>510870</v>
      </c>
      <c r="D7" s="13">
        <f>ROUND(D5*$F$3*B7/365,0)</f>
        <v>643562</v>
      </c>
      <c r="E7" s="13">
        <f>ROUND(E5*$F$3*B7/365,0)</f>
        <v>1287123</v>
      </c>
      <c r="F7" s="13">
        <f>ROUND(F5*$F$3*B7/365,0)</f>
        <v>1930685</v>
      </c>
      <c r="G7" s="13">
        <f>ROUND(G5*$F$3*B7/365,0)</f>
        <v>2574247</v>
      </c>
      <c r="H7" s="13">
        <f>ROUND(H5*$F$3*B7/365,0)</f>
        <v>3217808</v>
      </c>
      <c r="I7" s="13">
        <f>ROUND(I5*$F$3*B7/365,0)</f>
        <v>3861370</v>
      </c>
      <c r="J7" s="13">
        <f>ROUND(J5*$F$3*B7/365,0)</f>
        <v>5148493</v>
      </c>
      <c r="K7" s="13">
        <f>ROUND(K5*$F$3*B7/365,0)</f>
        <v>6435616</v>
      </c>
      <c r="L7" s="13">
        <f>ROUND(L5*$F$3*B7/365,0)</f>
        <v>12871233</v>
      </c>
      <c r="M7" s="13">
        <f>ROUND(M5*$F$3*B7/365,0)</f>
        <v>19306849</v>
      </c>
      <c r="N7" s="13">
        <f>ROUND(N5*$F$3*B7/365,0)</f>
        <v>25742466</v>
      </c>
      <c r="O7" s="13">
        <f>ROUND(O5*$F$3*B7/365,0)</f>
        <v>36966956</v>
      </c>
    </row>
    <row r="8" spans="1:15" ht="15.75" customHeight="1" x14ac:dyDescent="0.3">
      <c r="A8" s="24">
        <v>3</v>
      </c>
      <c r="B8" s="25">
        <v>90</v>
      </c>
      <c r="C8" s="9">
        <f>ROUND(C5*$F$3*B8/365,0)</f>
        <v>766306</v>
      </c>
      <c r="D8" s="9">
        <f>ROUND(D5*$F$3*B8/365,0)</f>
        <v>965342</v>
      </c>
      <c r="E8" s="9">
        <f>ROUND(E5*$F$3*B8/365,0)</f>
        <v>1930685</v>
      </c>
      <c r="F8" s="9">
        <f>ROUND(F5*$F$3*B8/365,0)</f>
        <v>2896027</v>
      </c>
      <c r="G8" s="9">
        <f>ROUND(G5*$F$3*B8/365,0)</f>
        <v>3861370</v>
      </c>
      <c r="H8" s="9">
        <f>ROUND(H5*$F$3*B8/365,0)</f>
        <v>4826712</v>
      </c>
      <c r="I8" s="9">
        <f>ROUND(I5*$F$3*B8/365,0)</f>
        <v>5792055</v>
      </c>
      <c r="J8" s="9">
        <f>ROUND(J5*$F$3*B8/365,0)</f>
        <v>7722740</v>
      </c>
      <c r="K8" s="9">
        <f>ROUND(K5*$F$3*B8/365,0)</f>
        <v>9653425</v>
      </c>
      <c r="L8" s="9">
        <f>ROUND(L5*$F$3*B8/365,0)</f>
        <v>19306849</v>
      </c>
      <c r="M8" s="9">
        <f>ROUND(M5*$F$3*B8/365,0)</f>
        <v>28960274</v>
      </c>
      <c r="N8" s="9">
        <f>ROUND(N5*$F$3*B8/365,0)</f>
        <v>38613699</v>
      </c>
      <c r="O8" s="9">
        <f>ROUND(O5*$F$3*B8/365,0)</f>
        <v>55450433</v>
      </c>
    </row>
    <row r="9" spans="1:15" ht="15.75" customHeight="1" x14ac:dyDescent="0.3">
      <c r="A9" s="24">
        <v>4</v>
      </c>
      <c r="B9" s="25">
        <v>120</v>
      </c>
      <c r="C9" s="13">
        <f>ROUND(C5*$F$3*B9/365,0)</f>
        <v>1021741</v>
      </c>
      <c r="D9" s="13">
        <f>ROUND(D5*$F$3*B9/365,0)</f>
        <v>1287123</v>
      </c>
      <c r="E9" s="13">
        <f>ROUND(E5*$F$3*B9/365,0)</f>
        <v>2574247</v>
      </c>
      <c r="F9" s="13">
        <f>ROUND(F5*$F$3*B9/365,0)</f>
        <v>3861370</v>
      </c>
      <c r="G9" s="13">
        <f>ROUND(G5*$F$3*B9/365,0)</f>
        <v>5148493</v>
      </c>
      <c r="H9" s="13">
        <f>ROUND(H5*$F$3*B9/365,0)</f>
        <v>6435616</v>
      </c>
      <c r="I9" s="13">
        <f>ROUND(I5*$F$3*B9/365,0)</f>
        <v>7722740</v>
      </c>
      <c r="J9" s="13">
        <f>ROUND(J5*$F$3*B9/365,0)</f>
        <v>10296986</v>
      </c>
      <c r="K9" s="13">
        <f>ROUND(K5*$F$3*B9/365,0)</f>
        <v>12871233</v>
      </c>
      <c r="L9" s="13">
        <f>ROUND(L5*$F$3*B9/365,0)</f>
        <v>25742466</v>
      </c>
      <c r="M9" s="13">
        <f>ROUND(M5*$F$3*B9/365,0)</f>
        <v>38613699</v>
      </c>
      <c r="N9" s="13">
        <f>ROUND(N5*$F$3*B9/365,0)</f>
        <v>51484932</v>
      </c>
      <c r="O9" s="13">
        <f>ROUND(O5*$F$3*B9/365,0)</f>
        <v>73933911</v>
      </c>
    </row>
    <row r="10" spans="1:15" ht="15.75" customHeight="1" x14ac:dyDescent="0.3">
      <c r="A10" s="24">
        <v>5</v>
      </c>
      <c r="B10" s="25">
        <v>150</v>
      </c>
      <c r="C10" s="9">
        <f>ROUND(C5*$F$3*B10/365,0)</f>
        <v>1277176</v>
      </c>
      <c r="D10" s="9">
        <f>ROUND(D5*$F$3*B10/365,0)</f>
        <v>1608904</v>
      </c>
      <c r="E10" s="9">
        <f>ROUND(E5*$F$3*B10/365,0)</f>
        <v>3217808</v>
      </c>
      <c r="F10" s="9">
        <f>ROUND(F5*$F$3*B10/365,0)</f>
        <v>4826712</v>
      </c>
      <c r="G10" s="9">
        <f>ROUND(G5*$F$3*B10/365,0)</f>
        <v>6435616</v>
      </c>
      <c r="H10" s="9">
        <f>ROUND(H5*$F$3*B10/365,0)</f>
        <v>8044521</v>
      </c>
      <c r="I10" s="9">
        <f>ROUND(I5*$F$3*B10/365,0)</f>
        <v>9653425</v>
      </c>
      <c r="J10" s="9">
        <f>ROUND(J5*$F$3*B10/365,0)</f>
        <v>12871233</v>
      </c>
      <c r="K10" s="9">
        <f>ROUND(K5*$F$3*B10/365,0)</f>
        <v>16089041</v>
      </c>
      <c r="L10" s="9">
        <f>ROUND(L5*$F$3*B10/365,0)</f>
        <v>32178082</v>
      </c>
      <c r="M10" s="9">
        <f>ROUND(M5*$F$3*B10/365,0)</f>
        <v>48267123</v>
      </c>
      <c r="N10" s="9">
        <f>ROUND(N5*$F$3*B10/365,0)</f>
        <v>64356164</v>
      </c>
      <c r="O10" s="9">
        <f>ROUND(O5*$F$3*B10/365,0)</f>
        <v>92417389</v>
      </c>
    </row>
    <row r="11" spans="1:15" ht="15.75" customHeight="1" x14ac:dyDescent="0.3">
      <c r="A11" s="24">
        <v>6</v>
      </c>
      <c r="B11" s="25">
        <v>180</v>
      </c>
      <c r="C11" s="13">
        <f>ROUND(C5*$F$3*B11/365,0)</f>
        <v>1532611</v>
      </c>
      <c r="D11" s="13">
        <f>ROUND(D5*$F$3*B11/365,0)</f>
        <v>1930685</v>
      </c>
      <c r="E11" s="13">
        <f>ROUND(E5*$F$3*B11/365,0)</f>
        <v>3861370</v>
      </c>
      <c r="F11" s="13">
        <f>ROUND(F5*$F$3*B11/365,0)</f>
        <v>5792055</v>
      </c>
      <c r="G11" s="13">
        <f>ROUND(G5*$F$3*B11/365,0)</f>
        <v>7722740</v>
      </c>
      <c r="H11" s="13">
        <f>ROUND(H5*$F$3*B11/365,0)</f>
        <v>9653425</v>
      </c>
      <c r="I11" s="13">
        <f>ROUND(I5*$F$3*B11/365,0)</f>
        <v>11584110</v>
      </c>
      <c r="J11" s="13">
        <f>ROUND(J5*$F$3*B11/365,0)</f>
        <v>15445479</v>
      </c>
      <c r="K11" s="13">
        <f>ROUND(K5*$F$3*B11/365,0)</f>
        <v>19306849</v>
      </c>
      <c r="L11" s="13">
        <f>ROUND(L5*$F$3*B11/365,0)</f>
        <v>38613699</v>
      </c>
      <c r="M11" s="13">
        <f>ROUND(M5*$F$3*B11/365,0)</f>
        <v>57920548</v>
      </c>
      <c r="N11" s="13">
        <f>ROUND(N5*$F$3*B11/365,0)</f>
        <v>77227397</v>
      </c>
      <c r="O11" s="13">
        <f>ROUND(O5*$F$3*B11/365,0)</f>
        <v>110900867</v>
      </c>
    </row>
    <row r="12" spans="1:15" ht="15.75" customHeight="1" x14ac:dyDescent="0.3">
      <c r="A12" s="24">
        <v>9</v>
      </c>
      <c r="B12" s="25">
        <v>270</v>
      </c>
      <c r="C12" s="9">
        <f>ROUND(C5*$F$3*B12/365,0)</f>
        <v>2298917</v>
      </c>
      <c r="D12" s="9">
        <f>ROUND(D5*$F$3*B12/365,0)</f>
        <v>2896027</v>
      </c>
      <c r="E12" s="9">
        <f>ROUND(E5*$F$3*B12/365,0)</f>
        <v>5792055</v>
      </c>
      <c r="F12" s="9">
        <f>ROUND(F5*$F$3*B12/365,0)</f>
        <v>8688082</v>
      </c>
      <c r="G12" s="9">
        <f>ROUND(G5*$F$3*B12/365,0)</f>
        <v>11584110</v>
      </c>
      <c r="H12" s="9">
        <f>ROUND(H5*$F$3*B12/365,0)</f>
        <v>14480137</v>
      </c>
      <c r="I12" s="9">
        <f>ROUND(I5*$F$3*B12/365,0)</f>
        <v>17376164</v>
      </c>
      <c r="J12" s="9">
        <f>ROUND(J5*$F$3*B12/365,0)</f>
        <v>23168219</v>
      </c>
      <c r="K12" s="9">
        <f>ROUND(K5*$F$3*B12/365,0)</f>
        <v>28960274</v>
      </c>
      <c r="L12" s="9">
        <f>ROUND(L5*$F$3*B12/365,0)</f>
        <v>57920548</v>
      </c>
      <c r="M12" s="9">
        <f>ROUND(M5*$F$3*B12/365,0)</f>
        <v>86880822</v>
      </c>
      <c r="N12" s="9">
        <f>ROUND(N5*$F$3*B12/365,0)</f>
        <v>115841096</v>
      </c>
      <c r="O12" s="9">
        <f>ROUND(O5*$F$3*B12/365,0)</f>
        <v>166351300</v>
      </c>
    </row>
    <row r="13" spans="1:15" ht="15.75" customHeight="1" x14ac:dyDescent="0.3">
      <c r="A13" s="24">
        <v>12</v>
      </c>
      <c r="B13" s="25">
        <v>360</v>
      </c>
      <c r="C13" s="13">
        <f>ROUND(C5*$F$3*B13/365,0)</f>
        <v>3065223</v>
      </c>
      <c r="D13" s="13">
        <f>ROUND(D5*$F$3*B13/365,0)</f>
        <v>3861370</v>
      </c>
      <c r="E13" s="13">
        <f>ROUND(E5*$F$3*B13/365,0)</f>
        <v>7722740</v>
      </c>
      <c r="F13" s="13">
        <f>ROUND(F5*$F$3*B13/365,0)</f>
        <v>11584110</v>
      </c>
      <c r="G13" s="13">
        <f>ROUND(G5*$F$3*B13/365,0)</f>
        <v>15445479</v>
      </c>
      <c r="H13" s="13">
        <f>ROUND(H5*$F$3*B13/365,0)</f>
        <v>19306849</v>
      </c>
      <c r="I13" s="13">
        <f>ROUND(I5*$F$3*B13/365,0)</f>
        <v>23168219</v>
      </c>
      <c r="J13" s="13">
        <f>ROUND(J5*$F$3*B13/365,0)</f>
        <v>30890959</v>
      </c>
      <c r="K13" s="13">
        <f>ROUND(K5*$F$3*B13/365,0)</f>
        <v>38613699</v>
      </c>
      <c r="L13" s="13">
        <f>ROUND(L5*$F$3*B13/365,0)</f>
        <v>77227397</v>
      </c>
      <c r="M13" s="13">
        <f>ROUND(M5*$F$3*B13/365,0)</f>
        <v>115841096</v>
      </c>
      <c r="N13" s="13">
        <f>ROUND(N5*$F$3*B13/365,0)</f>
        <v>154454795</v>
      </c>
      <c r="O13" s="13">
        <f>ROUND(O5*$F$3*B13/365,0)</f>
        <v>221801733</v>
      </c>
    </row>
    <row r="14" spans="1:15" ht="15.75" customHeight="1" x14ac:dyDescent="0.3">
      <c r="A14" s="24">
        <v>15</v>
      </c>
      <c r="B14" s="25">
        <v>450</v>
      </c>
      <c r="C14" s="9">
        <f>ROUND(C5*$F$3*B14/365,0)</f>
        <v>3831528</v>
      </c>
      <c r="D14" s="9">
        <f>ROUND(D5*$F$3*B14/365,0)</f>
        <v>4826712</v>
      </c>
      <c r="E14" s="9">
        <f>ROUND(E5*$F$3*B14/365,0)</f>
        <v>9653425</v>
      </c>
      <c r="F14" s="9">
        <f>ROUND(F5*$F$3*B14/365,0)</f>
        <v>14480137</v>
      </c>
      <c r="G14" s="9">
        <f>ROUND(G5*$F$3*B14/365,0)</f>
        <v>19306849</v>
      </c>
      <c r="H14" s="9">
        <f>ROUND(H5*$F$3*B14/365,0)</f>
        <v>24133562</v>
      </c>
      <c r="I14" s="9">
        <f>ROUND(I5*$F$3*B14/365,0)</f>
        <v>28960274</v>
      </c>
      <c r="J14" s="9">
        <f>ROUND(J5*$F$3*B14/365,0)</f>
        <v>38613699</v>
      </c>
      <c r="K14" s="9">
        <f>ROUND(K5*$F$3*B14/365,0)</f>
        <v>48267123</v>
      </c>
      <c r="L14" s="9">
        <f>ROUND(L5*$F$3*B14/365,0)</f>
        <v>96534247</v>
      </c>
      <c r="M14" s="9">
        <f>ROUND(M5*$F$3*B14/365,0)</f>
        <v>144801370</v>
      </c>
      <c r="N14" s="9">
        <f>ROUND(N5*$F$3*B14/365,0)</f>
        <v>193068493</v>
      </c>
      <c r="O14" s="9">
        <f>ROUND(O5*$F$3*B14/365,0)</f>
        <v>277252166</v>
      </c>
    </row>
    <row r="15" spans="1:15" ht="15.75" customHeight="1" x14ac:dyDescent="0.3">
      <c r="A15" s="24">
        <v>18</v>
      </c>
      <c r="B15" s="25">
        <v>540</v>
      </c>
      <c r="C15" s="13">
        <f>ROUND(C5*$F$3*B15/365,0)</f>
        <v>4597834</v>
      </c>
      <c r="D15" s="13">
        <f>ROUND(D5*$F$3*B15/365,0)</f>
        <v>5792055</v>
      </c>
      <c r="E15" s="13">
        <f>ROUND(E5*$F$3*B15/365,0)</f>
        <v>11584110</v>
      </c>
      <c r="F15" s="13">
        <f>ROUND(F5*$F$3*B15/365,0)</f>
        <v>17376164</v>
      </c>
      <c r="G15" s="13">
        <f>ROUND(G5*$F$3*B15/365,0)</f>
        <v>23168219</v>
      </c>
      <c r="H15" s="13">
        <f>ROUND(H5*$F$3*B15/365,0)</f>
        <v>28960274</v>
      </c>
      <c r="I15" s="13">
        <f>ROUND(I5*$F$3*B15/365,0)</f>
        <v>34752329</v>
      </c>
      <c r="J15" s="13">
        <f>ROUND(J5*$F$3*B15/365,0)</f>
        <v>46336438</v>
      </c>
      <c r="K15" s="13">
        <f>ROUND(K5*$F$3*B15/365,0)</f>
        <v>57920548</v>
      </c>
      <c r="L15" s="13">
        <f>ROUND(L5*$F$3*B15/365,0)</f>
        <v>115841096</v>
      </c>
      <c r="M15" s="13">
        <f>ROUND(M5*$F$3*B15/365,0)</f>
        <v>173761644</v>
      </c>
      <c r="N15" s="13">
        <f>ROUND(N5*$F$3*B15/365,0)</f>
        <v>231682192</v>
      </c>
      <c r="O15" s="13">
        <f>ROUND(O5*$F$3*B15/365,0)</f>
        <v>332702600</v>
      </c>
    </row>
    <row r="16" spans="1:15" ht="15.75" customHeight="1" x14ac:dyDescent="0.3">
      <c r="A16" s="24">
        <v>21</v>
      </c>
      <c r="B16" s="25">
        <v>630</v>
      </c>
      <c r="C16" s="9">
        <f>ROUND(C5*$F$3*B16/365,0)</f>
        <v>5364140</v>
      </c>
      <c r="D16" s="9">
        <f>ROUND(D5*$F$3*B16/365,0)</f>
        <v>6757397</v>
      </c>
      <c r="E16" s="9">
        <f>ROUND(E5*$F$3*B16/365,0)</f>
        <v>13514795</v>
      </c>
      <c r="F16" s="9">
        <f>ROUND(F5*$F$3*B16/365,0)</f>
        <v>20272192</v>
      </c>
      <c r="G16" s="9">
        <f>ROUND(G5*$F$3*B16/365,0)</f>
        <v>27029589</v>
      </c>
      <c r="H16" s="9">
        <f>ROUND(H5*$F$3*B16/365,0)</f>
        <v>33786986</v>
      </c>
      <c r="I16" s="9">
        <f>ROUND(I5*$F$3*B16/365,0)</f>
        <v>40544384</v>
      </c>
      <c r="J16" s="9">
        <f>ROUND(J5*$F$3*B16/365,0)</f>
        <v>54059178</v>
      </c>
      <c r="K16" s="9">
        <f>ROUND(K5*$F$3*B16/365,0)</f>
        <v>67573973</v>
      </c>
      <c r="L16" s="9">
        <f>ROUND(L5*$F$3*B16/365,0)</f>
        <v>135147945</v>
      </c>
      <c r="M16" s="9">
        <f>ROUND(M5*$F$3*B16/365,0)</f>
        <v>202721918</v>
      </c>
      <c r="N16" s="9">
        <f>ROUND(N5*$F$3*B16/365,0)</f>
        <v>270295890</v>
      </c>
      <c r="O16" s="9">
        <f>ROUND(O5*$F$3*B16/365,0)</f>
        <v>388153033</v>
      </c>
    </row>
    <row r="17" spans="1:15" ht="15.75" customHeight="1" x14ac:dyDescent="0.3">
      <c r="A17" s="24">
        <v>24</v>
      </c>
      <c r="B17" s="25">
        <v>720</v>
      </c>
      <c r="C17" s="13">
        <f>ROUND(C5*$F$3*B17/365,0)</f>
        <v>6130445</v>
      </c>
      <c r="D17" s="13">
        <f>ROUND(D5*$F$3*B17/365,0)</f>
        <v>7722740</v>
      </c>
      <c r="E17" s="13">
        <f>ROUND(E5*$F$3*B17/365,0)</f>
        <v>15445479</v>
      </c>
      <c r="F17" s="13">
        <f>ROUND(F5*$F$3*B17/365,0)</f>
        <v>23168219</v>
      </c>
      <c r="G17" s="13">
        <f>ROUND(G5*$F$3*B17/365,0)</f>
        <v>30890959</v>
      </c>
      <c r="H17" s="13">
        <f>ROUND(H5*$F$3*B17/365,0)</f>
        <v>38613699</v>
      </c>
      <c r="I17" s="13">
        <f>ROUND(I5*$F$3*B17/365,0)</f>
        <v>46336438</v>
      </c>
      <c r="J17" s="13">
        <f>ROUND(J5*$F$3*B17/365,0)</f>
        <v>61781918</v>
      </c>
      <c r="K17" s="13">
        <f>ROUND(K5*$F$3*B17/365,0)</f>
        <v>77227397</v>
      </c>
      <c r="L17" s="13">
        <f>ROUND(L5*$F$3*B17/365,0)</f>
        <v>154454795</v>
      </c>
      <c r="M17" s="13">
        <f>ROUND(M5*$F$3*B17/365,0)</f>
        <v>231682192</v>
      </c>
      <c r="N17" s="13">
        <f>ROUND(N5*$F$3*B17/365,0)</f>
        <v>308909589</v>
      </c>
      <c r="O17" s="13">
        <f>ROUND(O5*$F$3*B17/365,0)</f>
        <v>443603466</v>
      </c>
    </row>
    <row r="18" spans="1:15" ht="15.75" customHeight="1" x14ac:dyDescent="0.3">
      <c r="A18" s="24">
        <v>30</v>
      </c>
      <c r="B18" s="25">
        <v>900</v>
      </c>
      <c r="C18" s="9">
        <f>ROUND(C5*$F$3*B18/365,0)</f>
        <v>7663056</v>
      </c>
      <c r="D18" s="9">
        <f>ROUND(D5*$F$3*B18/365,0)</f>
        <v>9653425</v>
      </c>
      <c r="E18" s="9">
        <f>ROUND(E5*$F$3*B18/365,0)</f>
        <v>19306849</v>
      </c>
      <c r="F18" s="9">
        <f>ROUND(F5*$F$3*B18/365,0)</f>
        <v>28960274</v>
      </c>
      <c r="G18" s="9">
        <f>ROUND(G5*$F$3*B18/365,0)</f>
        <v>38613699</v>
      </c>
      <c r="H18" s="9">
        <f>ROUND(H5*$F$3*B18/365,0)</f>
        <v>48267123</v>
      </c>
      <c r="I18" s="9">
        <f>ROUND(I5*$F$3*B18/365,0)</f>
        <v>57920548</v>
      </c>
      <c r="J18" s="9">
        <f>ROUND(J5*$F$3*B18/365,0)</f>
        <v>77227397</v>
      </c>
      <c r="K18" s="9">
        <f>ROUND(K5*$F$3*B18/365,0)</f>
        <v>96534247</v>
      </c>
      <c r="L18" s="9">
        <f>ROUND(L5*$F$3*B18/365,0)</f>
        <v>193068493</v>
      </c>
      <c r="M18" s="9">
        <f>ROUND(M5*$F$3*B18/365,0)</f>
        <v>289602740</v>
      </c>
      <c r="N18" s="9">
        <f>ROUND(N5*$F$3*B18/365,0)</f>
        <v>386136986</v>
      </c>
      <c r="O18" s="9">
        <f>ROUND(O5*$F$3*B18/365,0)</f>
        <v>554504333</v>
      </c>
    </row>
    <row r="19" spans="1:15" ht="15.75" customHeight="1" x14ac:dyDescent="0.3">
      <c r="A19" s="24">
        <v>36</v>
      </c>
      <c r="B19" s="25">
        <v>1080</v>
      </c>
      <c r="C19" s="13">
        <f>ROUND(C5*$F$3*B19/365,0)</f>
        <v>9195668</v>
      </c>
      <c r="D19" s="13">
        <f>ROUND(D5*$F$3*B19/365,0)</f>
        <v>11584110</v>
      </c>
      <c r="E19" s="13">
        <f>ROUND(E5*$F$3*B19/365,0)</f>
        <v>23168219</v>
      </c>
      <c r="F19" s="13">
        <f>ROUND(F5*$F$3*B19/365,0)</f>
        <v>34752329</v>
      </c>
      <c r="G19" s="13">
        <f>ROUND(G5*$F$3*B19/365,0)</f>
        <v>46336438</v>
      </c>
      <c r="H19" s="13">
        <f>ROUND(H5*$F$3*B19/365,0)</f>
        <v>57920548</v>
      </c>
      <c r="I19" s="13">
        <f>ROUND(I5*$F$3*B19/365,0)</f>
        <v>69504658</v>
      </c>
      <c r="J19" s="13">
        <f>ROUND(J5*$F$3*B19/365,0)</f>
        <v>92672877</v>
      </c>
      <c r="K19" s="13">
        <f>ROUND(K5*$F$3*B19/365,0)</f>
        <v>115841096</v>
      </c>
      <c r="L19" s="13">
        <f>ROUND(L5*$F$3*B19/365,0)</f>
        <v>231682192</v>
      </c>
      <c r="M19" s="13">
        <f>ROUND(M5*$F$3*B19/365,0)</f>
        <v>347523288</v>
      </c>
      <c r="N19" s="13">
        <f>ROUND(N5*$F$3*B19/365,0)</f>
        <v>463364384</v>
      </c>
      <c r="O19" s="13">
        <f>ROUND(O5*$F$3*B19/365,0)</f>
        <v>665405199</v>
      </c>
    </row>
    <row r="20" spans="1:15" ht="15.75" customHeight="1" x14ac:dyDescent="0.3">
      <c r="A20" s="24">
        <v>42</v>
      </c>
      <c r="B20" s="25">
        <v>1260</v>
      </c>
      <c r="C20" s="9">
        <f>ROUND(C5*$F$3*B20/365,0)</f>
        <v>10728279</v>
      </c>
      <c r="D20" s="9">
        <f>ROUND(D5*$F$3*B20/365,0)</f>
        <v>13514795</v>
      </c>
      <c r="E20" s="9">
        <f>ROUND(E5*$F$3*B20/365,0)</f>
        <v>27029589</v>
      </c>
      <c r="F20" s="9">
        <f>ROUND(F5*$F$3*B20/365,0)</f>
        <v>40544384</v>
      </c>
      <c r="G20" s="9">
        <f>ROUND(G5*$F$3*B20/365,0)</f>
        <v>54059178</v>
      </c>
      <c r="H20" s="9">
        <f>ROUND(H5*$F$3*B20/365,0)</f>
        <v>67573973</v>
      </c>
      <c r="I20" s="9">
        <f>ROUND(I5*$F$3*B20/365,0)</f>
        <v>81088767</v>
      </c>
      <c r="J20" s="9">
        <f>ROUND(J5*$F$3*B20/365,0)</f>
        <v>108118356</v>
      </c>
      <c r="K20" s="9">
        <f>ROUND(K5*$F$3*B20/365,0)</f>
        <v>135147945</v>
      </c>
      <c r="L20" s="9">
        <f>ROUND(L5*$F$3*B20/365,0)</f>
        <v>270295890</v>
      </c>
      <c r="M20" s="9">
        <f>ROUND(M5*$F$3*B20/365,0)</f>
        <v>405443836</v>
      </c>
      <c r="N20" s="9">
        <f>ROUND(N5*$F$3*B20/365,0)</f>
        <v>540591781</v>
      </c>
      <c r="O20" s="9">
        <f>ROUND(O5*$F$3*B20/365,0)</f>
        <v>776306066</v>
      </c>
    </row>
    <row r="21" spans="1:15" ht="15.75" customHeight="1" x14ac:dyDescent="0.3">
      <c r="A21" s="24">
        <v>48</v>
      </c>
      <c r="B21" s="25">
        <v>1440</v>
      </c>
      <c r="C21" s="13">
        <f>ROUND(C5*$F$3*B21/365,0)</f>
        <v>12260890</v>
      </c>
      <c r="D21" s="13">
        <f>ROUND(D5*$F$3*B21/365,0)</f>
        <v>15445479</v>
      </c>
      <c r="E21" s="13">
        <f>ROUND(E5*$F$3*B21/365,0)</f>
        <v>30890959</v>
      </c>
      <c r="F21" s="13">
        <f>ROUND(F5*$F$3*B21/365,0)</f>
        <v>46336438</v>
      </c>
      <c r="G21" s="13">
        <f>ROUND(G5*$F$3*B21/365,0)</f>
        <v>61781918</v>
      </c>
      <c r="H21" s="13">
        <f>ROUND(H5*$F$3*B21/365,0)</f>
        <v>77227397</v>
      </c>
      <c r="I21" s="13">
        <f>ROUND(I5*$F$3*B21/365,0)</f>
        <v>92672877</v>
      </c>
      <c r="J21" s="13">
        <f>ROUND(J5*$F$3*B21/365,0)</f>
        <v>123563836</v>
      </c>
      <c r="K21" s="13">
        <f>ROUND(K5*$F$3*B21/365,0)</f>
        <v>154454795</v>
      </c>
      <c r="L21" s="13">
        <f>ROUND(L5*$F$3*B21/365,0)</f>
        <v>308909589</v>
      </c>
      <c r="M21" s="13">
        <f>ROUND(M5*$F$3*B21/365,0)</f>
        <v>463364384</v>
      </c>
      <c r="N21" s="13">
        <f>ROUND(N5*$F$3*B21/365,0)</f>
        <v>617819178</v>
      </c>
      <c r="O21" s="13">
        <f>ROUND(O5*$F$3*B21/365,0)</f>
        <v>887206932</v>
      </c>
    </row>
    <row r="22" spans="1:15" ht="15.75" customHeight="1" x14ac:dyDescent="0.3">
      <c r="A22" s="24">
        <v>54</v>
      </c>
      <c r="B22" s="25">
        <v>1620</v>
      </c>
      <c r="C22" s="9">
        <f>ROUND(C5*$F$3*B22/365,0)</f>
        <v>13793502</v>
      </c>
      <c r="D22" s="9">
        <f>ROUND(D5*$F$3*B22/365,0)</f>
        <v>17376164</v>
      </c>
      <c r="E22" s="9">
        <f>ROUND(E5*$F$3*B22/365,0)</f>
        <v>34752329</v>
      </c>
      <c r="F22" s="9">
        <f>ROUND(F5*$F$3*B22/365,0)</f>
        <v>52128493</v>
      </c>
      <c r="G22" s="9">
        <f>ROUND(G5*$F$3*B22/365,0)</f>
        <v>69504658</v>
      </c>
      <c r="H22" s="9">
        <f>ROUND(H5*$F$3*B22/365,0)</f>
        <v>86880822</v>
      </c>
      <c r="I22" s="9">
        <f>ROUND(I5*$F$3*B22/365,0)</f>
        <v>104256986</v>
      </c>
      <c r="J22" s="9">
        <f>ROUND(J5*$F$3*B22/365,0)</f>
        <v>139009315</v>
      </c>
      <c r="K22" s="9">
        <f>ROUND(K5*$F$3*B22/365,0)</f>
        <v>173761644</v>
      </c>
      <c r="L22" s="9">
        <f>ROUND(L5*$F$3*B22/365,0)</f>
        <v>347523288</v>
      </c>
      <c r="M22" s="9">
        <f>ROUND(M5*$F$3*B22/365,0)</f>
        <v>521284932</v>
      </c>
      <c r="N22" s="9">
        <f>ROUND(N5*$F$3*B22/365,0)</f>
        <v>695046575</v>
      </c>
      <c r="O22" s="9">
        <f>ROUND(O5*$F$3*B22/365,0)</f>
        <v>998107799</v>
      </c>
    </row>
    <row r="23" spans="1:15" ht="15.75" customHeight="1" x14ac:dyDescent="0.3">
      <c r="A23" s="24">
        <v>60</v>
      </c>
      <c r="B23" s="25">
        <v>1800</v>
      </c>
      <c r="C23" s="13">
        <f>ROUND(C5*$F$3*B23/365,0)</f>
        <v>15326113</v>
      </c>
      <c r="D23" s="13">
        <f>ROUND(D5*$F$3*B23/365,0)</f>
        <v>19306849</v>
      </c>
      <c r="E23" s="13">
        <f>ROUND(E5*$F$3*B23/365,0)</f>
        <v>38613699</v>
      </c>
      <c r="F23" s="13">
        <f>ROUND(F5*$F$3*B23/365,0)</f>
        <v>57920548</v>
      </c>
      <c r="G23" s="13">
        <f>ROUND(G5*$F$3*B23/365,0)</f>
        <v>77227397</v>
      </c>
      <c r="H23" s="13">
        <f>ROUND(H5*$F$3*B23/365,0)</f>
        <v>96534247</v>
      </c>
      <c r="I23" s="13">
        <f>ROUND(I5*$F$3*B23/365,0)</f>
        <v>115841096</v>
      </c>
      <c r="J23" s="13">
        <f>ROUND(J5*$F$3*B23/365,0)</f>
        <v>154454795</v>
      </c>
      <c r="K23" s="13">
        <f>ROUND(K5*$F$3*B23/365,0)</f>
        <v>193068493</v>
      </c>
      <c r="L23" s="13">
        <f>ROUND(L5*$F$3*B23/365,0)</f>
        <v>386136986</v>
      </c>
      <c r="M23" s="13">
        <f>ROUND(M5*$F$3*B23/365,0)</f>
        <v>579205479</v>
      </c>
      <c r="N23" s="13">
        <f>ROUND(N5*$F$3*B23/365,0)</f>
        <v>772273973</v>
      </c>
      <c r="O23" s="13">
        <f>ROUND(O5*$F$3*B23/365,0)</f>
        <v>1109008665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6600"/>
  </sheetPr>
  <dimension ref="A1:I32"/>
  <sheetViews>
    <sheetView zoomScaleNormal="100" workbookViewId="0">
      <selection sqref="A1:I1"/>
    </sheetView>
  </sheetViews>
  <sheetFormatPr defaultColWidth="8.6640625" defaultRowHeight="14.4" x14ac:dyDescent="0.3"/>
  <cols>
    <col min="1" max="1" width="20" customWidth="1"/>
    <col min="2" max="4" width="18" customWidth="1"/>
    <col min="5" max="6" width="16" customWidth="1"/>
    <col min="7" max="9" width="18" customWidth="1"/>
  </cols>
  <sheetData>
    <row r="1" spans="1:9" ht="15.75" customHeight="1" x14ac:dyDescent="0.3">
      <c r="A1" s="49" t="s">
        <v>57</v>
      </c>
      <c r="B1" s="49"/>
      <c r="C1" s="49"/>
      <c r="D1" s="49"/>
      <c r="E1" s="49"/>
      <c r="F1" s="49"/>
      <c r="G1" s="49"/>
      <c r="H1" s="49"/>
      <c r="I1" s="49"/>
    </row>
    <row r="2" spans="1:9" ht="15" customHeight="1" x14ac:dyDescent="0.3">
      <c r="A2" s="50" t="s">
        <v>58</v>
      </c>
      <c r="B2" s="50"/>
      <c r="C2" s="50"/>
      <c r="D2" s="50"/>
      <c r="E2" s="50"/>
      <c r="F2" s="50"/>
      <c r="G2" s="50"/>
      <c r="H2" s="50"/>
      <c r="I2" s="50"/>
    </row>
    <row r="4" spans="1:9" ht="15" customHeight="1" x14ac:dyDescent="0.3">
      <c r="A4" t="s">
        <v>53</v>
      </c>
      <c r="B4" s="18">
        <v>0.1116</v>
      </c>
      <c r="C4" t="s">
        <v>31</v>
      </c>
      <c r="D4" s="18">
        <v>4.4999999999999998E-2</v>
      </c>
      <c r="E4" t="s">
        <v>54</v>
      </c>
      <c r="F4" s="19">
        <f>B4+D4</f>
        <v>0.15660000000000002</v>
      </c>
    </row>
    <row r="5" spans="1:9" ht="15" customHeight="1" x14ac:dyDescent="0.3">
      <c r="A5" s="51" t="s">
        <v>59</v>
      </c>
      <c r="B5" s="51"/>
      <c r="C5" s="51"/>
      <c r="D5" s="51"/>
      <c r="E5" s="51"/>
      <c r="F5" s="51"/>
      <c r="G5" s="51"/>
      <c r="H5" s="51"/>
      <c r="I5" s="51"/>
    </row>
    <row r="7" spans="1:9" ht="30" customHeight="1" x14ac:dyDescent="0.3">
      <c r="A7" s="20" t="s">
        <v>60</v>
      </c>
      <c r="B7" s="20" t="s">
        <v>61</v>
      </c>
      <c r="C7" s="20" t="s">
        <v>62</v>
      </c>
      <c r="D7" s="20" t="s">
        <v>63</v>
      </c>
      <c r="E7" s="20" t="s">
        <v>64</v>
      </c>
      <c r="F7" s="20" t="s">
        <v>65</v>
      </c>
      <c r="G7" s="20" t="s">
        <v>66</v>
      </c>
      <c r="H7" s="20" t="s">
        <v>67</v>
      </c>
      <c r="I7" s="20" t="s">
        <v>25</v>
      </c>
    </row>
    <row r="8" spans="1:9" ht="15" customHeight="1" x14ac:dyDescent="0.3">
      <c r="A8" s="7">
        <v>46031</v>
      </c>
      <c r="B8" s="9">
        <v>493841</v>
      </c>
      <c r="C8" s="26">
        <v>46060</v>
      </c>
      <c r="D8" s="26">
        <v>46088</v>
      </c>
      <c r="E8" s="8">
        <f t="shared" ref="E8:E31" si="0">MAX(0,D8-C8)</f>
        <v>28</v>
      </c>
      <c r="F8" s="10">
        <f t="shared" ref="F8:F31" si="1">$B$4</f>
        <v>0.1116</v>
      </c>
      <c r="G8" s="10">
        <f t="shared" ref="G8:G31" si="2">$F$4</f>
        <v>0.15660000000000002</v>
      </c>
      <c r="H8" s="9">
        <f t="shared" ref="H8:H31" si="3">ROUND(B8*E8*G8/365,0)</f>
        <v>5933</v>
      </c>
      <c r="I8" s="9">
        <f>H8</f>
        <v>5933</v>
      </c>
    </row>
    <row r="9" spans="1:9" ht="15" customHeight="1" x14ac:dyDescent="0.3">
      <c r="A9" s="11">
        <v>46036</v>
      </c>
      <c r="B9" s="13">
        <v>2027219</v>
      </c>
      <c r="C9" s="27">
        <v>46065</v>
      </c>
      <c r="D9" s="27">
        <v>46095</v>
      </c>
      <c r="E9" s="12">
        <f t="shared" si="0"/>
        <v>30</v>
      </c>
      <c r="F9" s="14">
        <f t="shared" si="1"/>
        <v>0.1116</v>
      </c>
      <c r="G9" s="14">
        <f t="shared" si="2"/>
        <v>0.15660000000000002</v>
      </c>
      <c r="H9" s="13">
        <f t="shared" si="3"/>
        <v>26093</v>
      </c>
      <c r="I9" s="13">
        <f t="shared" ref="I9:I31" si="4">I8+H9</f>
        <v>32026</v>
      </c>
    </row>
    <row r="10" spans="1:9" ht="15" customHeight="1" x14ac:dyDescent="0.3">
      <c r="A10" s="7">
        <v>46042</v>
      </c>
      <c r="B10" s="9">
        <v>444058</v>
      </c>
      <c r="C10" s="26">
        <v>46071</v>
      </c>
      <c r="D10" s="26">
        <v>46101</v>
      </c>
      <c r="E10" s="8">
        <f t="shared" si="0"/>
        <v>30</v>
      </c>
      <c r="F10" s="10">
        <f t="shared" si="1"/>
        <v>0.1116</v>
      </c>
      <c r="G10" s="10">
        <f t="shared" si="2"/>
        <v>0.15660000000000002</v>
      </c>
      <c r="H10" s="9">
        <f t="shared" si="3"/>
        <v>5716</v>
      </c>
      <c r="I10" s="9">
        <f t="shared" si="4"/>
        <v>37742</v>
      </c>
    </row>
    <row r="11" spans="1:9" ht="15" customHeight="1" x14ac:dyDescent="0.3">
      <c r="A11" s="11">
        <v>46043</v>
      </c>
      <c r="B11" s="13">
        <v>750822</v>
      </c>
      <c r="C11" s="27">
        <v>46072</v>
      </c>
      <c r="D11" s="27">
        <v>46102</v>
      </c>
      <c r="E11" s="12">
        <f t="shared" si="0"/>
        <v>30</v>
      </c>
      <c r="F11" s="14">
        <f t="shared" si="1"/>
        <v>0.1116</v>
      </c>
      <c r="G11" s="14">
        <f t="shared" si="2"/>
        <v>0.15660000000000002</v>
      </c>
      <c r="H11" s="13">
        <f t="shared" si="3"/>
        <v>9664</v>
      </c>
      <c r="I11" s="13">
        <f t="shared" si="4"/>
        <v>47406</v>
      </c>
    </row>
    <row r="12" spans="1:9" ht="15" customHeight="1" x14ac:dyDescent="0.3">
      <c r="A12" s="7">
        <v>46044</v>
      </c>
      <c r="B12" s="9">
        <v>3046192</v>
      </c>
      <c r="C12" s="26">
        <v>46073</v>
      </c>
      <c r="D12" s="26">
        <v>46103</v>
      </c>
      <c r="E12" s="8">
        <f t="shared" si="0"/>
        <v>30</v>
      </c>
      <c r="F12" s="10">
        <f t="shared" si="1"/>
        <v>0.1116</v>
      </c>
      <c r="G12" s="10">
        <f t="shared" si="2"/>
        <v>0.15660000000000002</v>
      </c>
      <c r="H12" s="9">
        <f t="shared" si="3"/>
        <v>39208</v>
      </c>
      <c r="I12" s="9">
        <f t="shared" si="4"/>
        <v>86614</v>
      </c>
    </row>
    <row r="13" spans="1:9" ht="15" customHeight="1" x14ac:dyDescent="0.3">
      <c r="A13" s="11">
        <v>46045</v>
      </c>
      <c r="B13" s="13">
        <v>1544548</v>
      </c>
      <c r="C13" s="27">
        <v>46074</v>
      </c>
      <c r="D13" s="27">
        <v>46104</v>
      </c>
      <c r="E13" s="12">
        <f t="shared" si="0"/>
        <v>30</v>
      </c>
      <c r="F13" s="14">
        <f t="shared" si="1"/>
        <v>0.1116</v>
      </c>
      <c r="G13" s="14">
        <f t="shared" si="2"/>
        <v>0.15660000000000002</v>
      </c>
      <c r="H13" s="13">
        <f t="shared" si="3"/>
        <v>19880</v>
      </c>
      <c r="I13" s="13">
        <f t="shared" si="4"/>
        <v>106494</v>
      </c>
    </row>
    <row r="14" spans="1:9" ht="15" customHeight="1" x14ac:dyDescent="0.3">
      <c r="A14" s="7">
        <v>46048</v>
      </c>
      <c r="B14" s="9">
        <v>354546</v>
      </c>
      <c r="C14" s="26">
        <v>46077</v>
      </c>
      <c r="D14" s="26">
        <v>46107</v>
      </c>
      <c r="E14" s="8">
        <f t="shared" si="0"/>
        <v>30</v>
      </c>
      <c r="F14" s="10">
        <f t="shared" si="1"/>
        <v>0.1116</v>
      </c>
      <c r="G14" s="10">
        <f t="shared" si="2"/>
        <v>0.15660000000000002</v>
      </c>
      <c r="H14" s="9">
        <f t="shared" si="3"/>
        <v>4563</v>
      </c>
      <c r="I14" s="9">
        <f t="shared" si="4"/>
        <v>111057</v>
      </c>
    </row>
    <row r="15" spans="1:9" ht="15" customHeight="1" x14ac:dyDescent="0.3">
      <c r="A15" s="11">
        <v>46048</v>
      </c>
      <c r="B15" s="13">
        <v>289016</v>
      </c>
      <c r="C15" s="27">
        <v>46077</v>
      </c>
      <c r="D15" s="27">
        <v>46107</v>
      </c>
      <c r="E15" s="12">
        <f t="shared" si="0"/>
        <v>30</v>
      </c>
      <c r="F15" s="14">
        <f t="shared" si="1"/>
        <v>0.1116</v>
      </c>
      <c r="G15" s="14">
        <f t="shared" si="2"/>
        <v>0.15660000000000002</v>
      </c>
      <c r="H15" s="13">
        <f t="shared" si="3"/>
        <v>3720</v>
      </c>
      <c r="I15" s="13">
        <f t="shared" si="4"/>
        <v>114777</v>
      </c>
    </row>
    <row r="16" spans="1:9" ht="15" customHeight="1" x14ac:dyDescent="0.3">
      <c r="A16" s="7">
        <v>46049</v>
      </c>
      <c r="B16" s="9">
        <v>489107</v>
      </c>
      <c r="C16" s="26">
        <v>46078</v>
      </c>
      <c r="D16" s="26">
        <v>46108</v>
      </c>
      <c r="E16" s="8">
        <f t="shared" si="0"/>
        <v>30</v>
      </c>
      <c r="F16" s="10">
        <f t="shared" si="1"/>
        <v>0.1116</v>
      </c>
      <c r="G16" s="10">
        <f t="shared" si="2"/>
        <v>0.15660000000000002</v>
      </c>
      <c r="H16" s="9">
        <f t="shared" si="3"/>
        <v>6295</v>
      </c>
      <c r="I16" s="9">
        <f t="shared" si="4"/>
        <v>121072</v>
      </c>
    </row>
    <row r="17" spans="1:9" ht="15" customHeight="1" x14ac:dyDescent="0.3">
      <c r="A17" s="11">
        <v>46055</v>
      </c>
      <c r="B17" s="13">
        <v>879534</v>
      </c>
      <c r="C17" s="27">
        <v>46085</v>
      </c>
      <c r="D17" s="27">
        <v>46114</v>
      </c>
      <c r="E17" s="12">
        <f t="shared" si="0"/>
        <v>29</v>
      </c>
      <c r="F17" s="14">
        <f t="shared" si="1"/>
        <v>0.1116</v>
      </c>
      <c r="G17" s="14">
        <f t="shared" si="2"/>
        <v>0.15660000000000002</v>
      </c>
      <c r="H17" s="13">
        <f t="shared" si="3"/>
        <v>10943</v>
      </c>
      <c r="I17" s="13">
        <f t="shared" si="4"/>
        <v>132015</v>
      </c>
    </row>
    <row r="18" spans="1:9" ht="15" customHeight="1" x14ac:dyDescent="0.3">
      <c r="A18" s="7">
        <v>46056</v>
      </c>
      <c r="B18" s="9">
        <v>2670781</v>
      </c>
      <c r="C18" s="26">
        <v>46086</v>
      </c>
      <c r="D18" s="26">
        <v>46115</v>
      </c>
      <c r="E18" s="8">
        <f t="shared" si="0"/>
        <v>29</v>
      </c>
      <c r="F18" s="10">
        <f t="shared" si="1"/>
        <v>0.1116</v>
      </c>
      <c r="G18" s="10">
        <f t="shared" si="2"/>
        <v>0.15660000000000002</v>
      </c>
      <c r="H18" s="9">
        <f t="shared" si="3"/>
        <v>33230</v>
      </c>
      <c r="I18" s="9">
        <f t="shared" si="4"/>
        <v>165245</v>
      </c>
    </row>
    <row r="19" spans="1:9" ht="15" customHeight="1" x14ac:dyDescent="0.3">
      <c r="A19" s="11">
        <v>46056</v>
      </c>
      <c r="B19" s="13">
        <v>890260</v>
      </c>
      <c r="C19" s="27">
        <v>46086</v>
      </c>
      <c r="D19" s="27">
        <v>46115</v>
      </c>
      <c r="E19" s="12">
        <f t="shared" si="0"/>
        <v>29</v>
      </c>
      <c r="F19" s="14">
        <f t="shared" si="1"/>
        <v>0.1116</v>
      </c>
      <c r="G19" s="14">
        <f t="shared" si="2"/>
        <v>0.15660000000000002</v>
      </c>
      <c r="H19" s="13">
        <f t="shared" si="3"/>
        <v>11077</v>
      </c>
      <c r="I19" s="13">
        <f t="shared" si="4"/>
        <v>176322</v>
      </c>
    </row>
    <row r="20" spans="1:9" ht="15" customHeight="1" x14ac:dyDescent="0.3">
      <c r="A20" s="7">
        <v>46069</v>
      </c>
      <c r="B20" s="9">
        <v>5148493</v>
      </c>
      <c r="C20" s="26">
        <v>46099</v>
      </c>
      <c r="D20" s="26">
        <v>46128</v>
      </c>
      <c r="E20" s="8">
        <f t="shared" si="0"/>
        <v>29</v>
      </c>
      <c r="F20" s="10">
        <f t="shared" si="1"/>
        <v>0.1116</v>
      </c>
      <c r="G20" s="10">
        <f t="shared" si="2"/>
        <v>0.15660000000000002</v>
      </c>
      <c r="H20" s="9">
        <f t="shared" si="3"/>
        <v>64059</v>
      </c>
      <c r="I20" s="9">
        <f t="shared" si="4"/>
        <v>240381</v>
      </c>
    </row>
    <row r="21" spans="1:9" ht="15" customHeight="1" x14ac:dyDescent="0.3">
      <c r="A21" s="11">
        <v>46070</v>
      </c>
      <c r="B21" s="13">
        <v>2080849</v>
      </c>
      <c r="C21" s="27">
        <v>46100</v>
      </c>
      <c r="D21" s="27">
        <v>46129</v>
      </c>
      <c r="E21" s="12">
        <f t="shared" si="0"/>
        <v>29</v>
      </c>
      <c r="F21" s="14">
        <f t="shared" si="1"/>
        <v>0.1116</v>
      </c>
      <c r="G21" s="14">
        <f t="shared" si="2"/>
        <v>0.15660000000000002</v>
      </c>
      <c r="H21" s="13">
        <f t="shared" si="3"/>
        <v>25890</v>
      </c>
      <c r="I21" s="13">
        <f t="shared" si="4"/>
        <v>266271</v>
      </c>
    </row>
    <row r="22" spans="1:9" ht="15" customHeight="1" x14ac:dyDescent="0.3">
      <c r="A22" s="7">
        <v>46076</v>
      </c>
      <c r="B22" s="9">
        <v>4419123</v>
      </c>
      <c r="C22" s="26">
        <v>46106</v>
      </c>
      <c r="D22" s="26">
        <v>46135</v>
      </c>
      <c r="E22" s="8">
        <f t="shared" si="0"/>
        <v>29</v>
      </c>
      <c r="F22" s="10">
        <f t="shared" si="1"/>
        <v>0.1116</v>
      </c>
      <c r="G22" s="10">
        <f t="shared" si="2"/>
        <v>0.15660000000000002</v>
      </c>
      <c r="H22" s="9">
        <f t="shared" si="3"/>
        <v>54984</v>
      </c>
      <c r="I22" s="9">
        <f t="shared" si="4"/>
        <v>321255</v>
      </c>
    </row>
    <row r="23" spans="1:9" ht="15" customHeight="1" x14ac:dyDescent="0.3">
      <c r="A23" s="11">
        <v>46077</v>
      </c>
      <c r="B23" s="13">
        <v>1038868</v>
      </c>
      <c r="C23" s="27">
        <v>46107</v>
      </c>
      <c r="D23" s="27">
        <v>46136</v>
      </c>
      <c r="E23" s="12">
        <f t="shared" si="0"/>
        <v>29</v>
      </c>
      <c r="F23" s="14">
        <f t="shared" si="1"/>
        <v>0.1116</v>
      </c>
      <c r="G23" s="14">
        <f t="shared" si="2"/>
        <v>0.15660000000000002</v>
      </c>
      <c r="H23" s="13">
        <f t="shared" si="3"/>
        <v>12926</v>
      </c>
      <c r="I23" s="13">
        <f t="shared" si="4"/>
        <v>334181</v>
      </c>
    </row>
    <row r="24" spans="1:9" ht="15" customHeight="1" x14ac:dyDescent="0.3">
      <c r="A24" s="7">
        <v>46077</v>
      </c>
      <c r="B24" s="9">
        <v>3423160</v>
      </c>
      <c r="C24" s="26">
        <v>46107</v>
      </c>
      <c r="D24" s="26">
        <v>46136</v>
      </c>
      <c r="E24" s="8">
        <f t="shared" si="0"/>
        <v>29</v>
      </c>
      <c r="F24" s="10">
        <f t="shared" si="1"/>
        <v>0.1116</v>
      </c>
      <c r="G24" s="10">
        <f t="shared" si="2"/>
        <v>0.15660000000000002</v>
      </c>
      <c r="H24" s="9">
        <f t="shared" si="3"/>
        <v>42592</v>
      </c>
      <c r="I24" s="9">
        <f t="shared" si="4"/>
        <v>376773</v>
      </c>
    </row>
    <row r="25" spans="1:9" ht="15" customHeight="1" x14ac:dyDescent="0.3">
      <c r="A25" s="11">
        <v>46078</v>
      </c>
      <c r="B25" s="13">
        <v>4504932</v>
      </c>
      <c r="C25" s="27">
        <v>46108</v>
      </c>
      <c r="D25" s="27">
        <v>46137</v>
      </c>
      <c r="E25" s="12">
        <f t="shared" si="0"/>
        <v>29</v>
      </c>
      <c r="F25" s="14">
        <f t="shared" si="1"/>
        <v>0.1116</v>
      </c>
      <c r="G25" s="14">
        <f t="shared" si="2"/>
        <v>0.15660000000000002</v>
      </c>
      <c r="H25" s="13">
        <f t="shared" si="3"/>
        <v>56051</v>
      </c>
      <c r="I25" s="13">
        <f t="shared" si="4"/>
        <v>432824</v>
      </c>
    </row>
    <row r="26" spans="1:9" ht="15" customHeight="1" x14ac:dyDescent="0.3">
      <c r="A26" s="7">
        <v>46079</v>
      </c>
      <c r="B26" s="9">
        <v>4547836</v>
      </c>
      <c r="C26" s="26">
        <v>46109</v>
      </c>
      <c r="D26" s="26">
        <v>46138</v>
      </c>
      <c r="E26" s="8">
        <f t="shared" si="0"/>
        <v>29</v>
      </c>
      <c r="F26" s="10">
        <f t="shared" si="1"/>
        <v>0.1116</v>
      </c>
      <c r="G26" s="10">
        <f t="shared" si="2"/>
        <v>0.15660000000000002</v>
      </c>
      <c r="H26" s="9">
        <f t="shared" si="3"/>
        <v>56585</v>
      </c>
      <c r="I26" s="9">
        <f t="shared" si="4"/>
        <v>489409</v>
      </c>
    </row>
    <row r="27" spans="1:9" ht="15" customHeight="1" x14ac:dyDescent="0.3">
      <c r="A27" s="11">
        <v>46080</v>
      </c>
      <c r="B27" s="13">
        <v>4590740</v>
      </c>
      <c r="C27" s="27">
        <v>46110</v>
      </c>
      <c r="D27" s="27">
        <v>46139</v>
      </c>
      <c r="E27" s="12">
        <f t="shared" si="0"/>
        <v>29</v>
      </c>
      <c r="F27" s="14">
        <f t="shared" si="1"/>
        <v>0.1116</v>
      </c>
      <c r="G27" s="14">
        <f t="shared" si="2"/>
        <v>0.15660000000000002</v>
      </c>
      <c r="H27" s="13">
        <f t="shared" si="3"/>
        <v>57119</v>
      </c>
      <c r="I27" s="13">
        <f t="shared" si="4"/>
        <v>546528</v>
      </c>
    </row>
    <row r="28" spans="1:9" ht="15" customHeight="1" x14ac:dyDescent="0.3">
      <c r="A28" s="7">
        <v>46083</v>
      </c>
      <c r="B28" s="9">
        <v>2367289</v>
      </c>
      <c r="C28" s="26">
        <v>46113</v>
      </c>
      <c r="D28" s="26">
        <v>46142</v>
      </c>
      <c r="E28" s="8">
        <f t="shared" si="0"/>
        <v>29</v>
      </c>
      <c r="F28" s="10">
        <f t="shared" si="1"/>
        <v>0.1116</v>
      </c>
      <c r="G28" s="10">
        <f t="shared" si="2"/>
        <v>0.15660000000000002</v>
      </c>
      <c r="H28" s="9">
        <f t="shared" si="3"/>
        <v>29454</v>
      </c>
      <c r="I28" s="9">
        <f t="shared" si="4"/>
        <v>575982</v>
      </c>
    </row>
    <row r="29" spans="1:9" ht="15" customHeight="1" x14ac:dyDescent="0.3">
      <c r="A29" s="11">
        <v>46083</v>
      </c>
      <c r="B29" s="13">
        <v>7071615</v>
      </c>
      <c r="C29" s="27">
        <v>46113</v>
      </c>
      <c r="D29" s="27">
        <v>46142</v>
      </c>
      <c r="E29" s="12">
        <f t="shared" si="0"/>
        <v>29</v>
      </c>
      <c r="F29" s="14">
        <f t="shared" si="1"/>
        <v>0.1116</v>
      </c>
      <c r="G29" s="14">
        <f t="shared" si="2"/>
        <v>0.15660000000000002</v>
      </c>
      <c r="H29" s="13">
        <f t="shared" si="3"/>
        <v>87986</v>
      </c>
      <c r="I29" s="13">
        <f t="shared" si="4"/>
        <v>663968</v>
      </c>
    </row>
    <row r="30" spans="1:9" ht="15" customHeight="1" x14ac:dyDescent="0.3">
      <c r="A30" s="7">
        <v>46084</v>
      </c>
      <c r="B30" s="9">
        <v>1666825</v>
      </c>
      <c r="C30" s="26">
        <v>46114</v>
      </c>
      <c r="D30" s="26">
        <v>46144</v>
      </c>
      <c r="E30" s="8">
        <f t="shared" si="0"/>
        <v>30</v>
      </c>
      <c r="F30" s="10">
        <f t="shared" si="1"/>
        <v>0.1116</v>
      </c>
      <c r="G30" s="10">
        <f t="shared" si="2"/>
        <v>0.15660000000000002</v>
      </c>
      <c r="H30" s="9">
        <f t="shared" si="3"/>
        <v>21454</v>
      </c>
      <c r="I30" s="9">
        <f t="shared" si="4"/>
        <v>685422</v>
      </c>
    </row>
    <row r="31" spans="1:9" ht="15" customHeight="1" x14ac:dyDescent="0.3">
      <c r="A31" s="11">
        <v>46097</v>
      </c>
      <c r="B31" s="13">
        <v>4319113</v>
      </c>
      <c r="C31" s="27">
        <v>46127</v>
      </c>
      <c r="D31" s="27">
        <v>46157</v>
      </c>
      <c r="E31" s="12">
        <f t="shared" si="0"/>
        <v>30</v>
      </c>
      <c r="F31" s="14">
        <f t="shared" si="1"/>
        <v>0.1116</v>
      </c>
      <c r="G31" s="14">
        <f t="shared" si="2"/>
        <v>0.15660000000000002</v>
      </c>
      <c r="H31" s="13">
        <f t="shared" si="3"/>
        <v>55592</v>
      </c>
      <c r="I31" s="13">
        <f t="shared" si="4"/>
        <v>741014</v>
      </c>
    </row>
    <row r="32" spans="1:9" ht="15" customHeight="1" x14ac:dyDescent="0.3">
      <c r="A32" s="16" t="s">
        <v>26</v>
      </c>
      <c r="B32" s="17">
        <f>SUM(B8:B31)</f>
        <v>59058767</v>
      </c>
      <c r="C32" s="16"/>
      <c r="D32" s="16"/>
      <c r="E32" s="16"/>
      <c r="F32" s="16"/>
      <c r="G32" s="16"/>
      <c r="H32" s="17">
        <f>SUM(H8:H31)</f>
        <v>741014</v>
      </c>
      <c r="I32" s="16"/>
    </row>
  </sheetData>
  <mergeCells count="3">
    <mergeCell ref="A1:I1"/>
    <mergeCell ref="A2:I2"/>
    <mergeCell ref="A5:I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H21"/>
  <sheetViews>
    <sheetView zoomScaleNormal="100" workbookViewId="0"/>
  </sheetViews>
  <sheetFormatPr defaultColWidth="8.6640625" defaultRowHeight="14.4" x14ac:dyDescent="0.3"/>
  <cols>
    <col min="1" max="1" width="28" customWidth="1"/>
    <col min="2" max="2" width="18" customWidth="1"/>
    <col min="3" max="4" width="20" customWidth="1"/>
    <col min="5" max="6" width="16" customWidth="1"/>
    <col min="7" max="8" width="18" customWidth="1"/>
  </cols>
  <sheetData>
    <row r="1" spans="1:8" ht="15.75" customHeight="1" x14ac:dyDescent="0.3">
      <c r="A1" s="49" t="s">
        <v>68</v>
      </c>
      <c r="B1" s="49"/>
      <c r="C1" s="49"/>
      <c r="D1" s="49"/>
      <c r="E1" s="49"/>
      <c r="F1" s="49"/>
      <c r="G1" s="49"/>
      <c r="H1" s="49"/>
    </row>
    <row r="2" spans="1:8" ht="15" customHeight="1" x14ac:dyDescent="0.3">
      <c r="A2" s="52" t="s">
        <v>69</v>
      </c>
      <c r="B2" s="52"/>
      <c r="C2" s="52"/>
      <c r="D2" s="52"/>
      <c r="E2" s="52"/>
      <c r="F2" s="52"/>
      <c r="G2" s="52"/>
      <c r="H2" s="52"/>
    </row>
    <row r="4" spans="1:8" ht="15" customHeight="1" x14ac:dyDescent="0.3">
      <c r="A4" t="s">
        <v>70</v>
      </c>
      <c r="B4" s="28">
        <v>46133</v>
      </c>
    </row>
    <row r="5" spans="1:8" ht="15" customHeight="1" x14ac:dyDescent="0.3">
      <c r="A5" t="s">
        <v>71</v>
      </c>
      <c r="B5" s="29">
        <f>B4+30</f>
        <v>46163</v>
      </c>
    </row>
    <row r="6" spans="1:8" ht="15" customHeight="1" x14ac:dyDescent="0.3">
      <c r="A6" t="s">
        <v>72</v>
      </c>
      <c r="B6" s="30">
        <v>59058765</v>
      </c>
    </row>
    <row r="7" spans="1:8" ht="15" customHeight="1" x14ac:dyDescent="0.3">
      <c r="A7" t="s">
        <v>53</v>
      </c>
      <c r="B7" s="18">
        <v>0.1116</v>
      </c>
    </row>
    <row r="8" spans="1:8" ht="15" customHeight="1" x14ac:dyDescent="0.3">
      <c r="A8" t="s">
        <v>31</v>
      </c>
      <c r="B8" s="18">
        <v>4.4999999999999998E-2</v>
      </c>
    </row>
    <row r="9" spans="1:8" ht="15" customHeight="1" x14ac:dyDescent="0.3">
      <c r="A9" t="s">
        <v>32</v>
      </c>
      <c r="B9" s="19">
        <f>B7+B8</f>
        <v>0.15660000000000002</v>
      </c>
    </row>
    <row r="11" spans="1:8" ht="30" customHeight="1" x14ac:dyDescent="0.3">
      <c r="A11" s="20" t="s">
        <v>73</v>
      </c>
      <c r="B11" s="20" t="s">
        <v>74</v>
      </c>
      <c r="C11" s="20" t="s">
        <v>75</v>
      </c>
      <c r="D11" s="20" t="s">
        <v>76</v>
      </c>
      <c r="E11" s="20" t="s">
        <v>77</v>
      </c>
      <c r="F11" s="20" t="s">
        <v>78</v>
      </c>
      <c r="G11" s="20" t="s">
        <v>79</v>
      </c>
      <c r="H11" s="20" t="s">
        <v>80</v>
      </c>
    </row>
    <row r="12" spans="1:8" ht="15.75" customHeight="1" x14ac:dyDescent="0.3">
      <c r="A12" s="31" t="s">
        <v>81</v>
      </c>
      <c r="B12" s="32">
        <v>0</v>
      </c>
      <c r="C12" s="33">
        <f>$B$5</f>
        <v>46163</v>
      </c>
      <c r="D12" s="9">
        <f t="shared" ref="D12:D21" si="0">ROUND($B$6*B12*$B$9/365,0)</f>
        <v>0</v>
      </c>
      <c r="E12" s="9">
        <f t="shared" ref="E12:E21" si="1">ROUND($B$6*((1+$B$9/2)^(2*B12/365)-1),0)</f>
        <v>0</v>
      </c>
      <c r="F12" s="9">
        <f t="shared" ref="F12:F21" si="2">ROUND($B$6*$B$9/365,0)</f>
        <v>25339</v>
      </c>
      <c r="G12" s="9">
        <f t="shared" ref="G12:G21" si="3">$B$6+D12</f>
        <v>59058765</v>
      </c>
      <c r="H12" s="9">
        <f t="shared" ref="H12:H21" si="4">$B$6+E12</f>
        <v>59058765</v>
      </c>
    </row>
    <row r="13" spans="1:8" ht="15.75" customHeight="1" x14ac:dyDescent="0.3">
      <c r="A13" s="34" t="s">
        <v>82</v>
      </c>
      <c r="B13" s="35">
        <v>15</v>
      </c>
      <c r="C13" s="36">
        <f>$B$5+15</f>
        <v>46178</v>
      </c>
      <c r="D13" s="13">
        <f t="shared" si="0"/>
        <v>380080</v>
      </c>
      <c r="E13" s="13">
        <f t="shared" si="1"/>
        <v>367069</v>
      </c>
      <c r="F13" s="13">
        <f t="shared" si="2"/>
        <v>25339</v>
      </c>
      <c r="G13" s="13">
        <f t="shared" si="3"/>
        <v>59438845</v>
      </c>
      <c r="H13" s="13">
        <f t="shared" si="4"/>
        <v>59425834</v>
      </c>
    </row>
    <row r="14" spans="1:8" ht="15.75" customHeight="1" x14ac:dyDescent="0.3">
      <c r="A14" s="37" t="s">
        <v>83</v>
      </c>
      <c r="B14" s="32">
        <v>30</v>
      </c>
      <c r="C14" s="33">
        <f>$B$5+30</f>
        <v>46193</v>
      </c>
      <c r="D14" s="9">
        <f t="shared" si="0"/>
        <v>760159</v>
      </c>
      <c r="E14" s="9">
        <f t="shared" si="1"/>
        <v>736420</v>
      </c>
      <c r="F14" s="9">
        <f t="shared" si="2"/>
        <v>25339</v>
      </c>
      <c r="G14" s="9">
        <f t="shared" si="3"/>
        <v>59818924</v>
      </c>
      <c r="H14" s="9">
        <f t="shared" si="4"/>
        <v>59795185</v>
      </c>
    </row>
    <row r="15" spans="1:8" ht="15.75" customHeight="1" x14ac:dyDescent="0.3">
      <c r="A15" s="34" t="s">
        <v>84</v>
      </c>
      <c r="B15" s="35">
        <v>45</v>
      </c>
      <c r="C15" s="36">
        <f>$B$5+45</f>
        <v>46208</v>
      </c>
      <c r="D15" s="13">
        <f t="shared" si="0"/>
        <v>1140239</v>
      </c>
      <c r="E15" s="13">
        <f t="shared" si="1"/>
        <v>1108066</v>
      </c>
      <c r="F15" s="13">
        <f t="shared" si="2"/>
        <v>25339</v>
      </c>
      <c r="G15" s="13">
        <f t="shared" si="3"/>
        <v>60199004</v>
      </c>
      <c r="H15" s="13">
        <f t="shared" si="4"/>
        <v>60166831</v>
      </c>
    </row>
    <row r="16" spans="1:8" ht="15.75" customHeight="1" x14ac:dyDescent="0.3">
      <c r="A16" s="37" t="s">
        <v>85</v>
      </c>
      <c r="B16" s="32">
        <v>60</v>
      </c>
      <c r="C16" s="33">
        <f>$B$5+60</f>
        <v>46223</v>
      </c>
      <c r="D16" s="9">
        <f t="shared" si="0"/>
        <v>1520318</v>
      </c>
      <c r="E16" s="9">
        <f t="shared" si="1"/>
        <v>1482023</v>
      </c>
      <c r="F16" s="9">
        <f t="shared" si="2"/>
        <v>25339</v>
      </c>
      <c r="G16" s="9">
        <f t="shared" si="3"/>
        <v>60579083</v>
      </c>
      <c r="H16" s="9">
        <f t="shared" si="4"/>
        <v>60540788</v>
      </c>
    </row>
    <row r="17" spans="1:8" ht="15.75" customHeight="1" x14ac:dyDescent="0.3">
      <c r="A17" s="34" t="s">
        <v>86</v>
      </c>
      <c r="B17" s="35">
        <v>90</v>
      </c>
      <c r="C17" s="36">
        <f>$B$5+90</f>
        <v>46253</v>
      </c>
      <c r="D17" s="13">
        <f t="shared" si="0"/>
        <v>2280477</v>
      </c>
      <c r="E17" s="13">
        <f t="shared" si="1"/>
        <v>2236922</v>
      </c>
      <c r="F17" s="13">
        <f t="shared" si="2"/>
        <v>25339</v>
      </c>
      <c r="G17" s="13">
        <f t="shared" si="3"/>
        <v>61339242</v>
      </c>
      <c r="H17" s="13">
        <f t="shared" si="4"/>
        <v>61295687</v>
      </c>
    </row>
    <row r="18" spans="1:8" ht="15.75" customHeight="1" x14ac:dyDescent="0.3">
      <c r="A18" s="37" t="s">
        <v>87</v>
      </c>
      <c r="B18" s="32">
        <v>120</v>
      </c>
      <c r="C18" s="33">
        <f>$B$5+120</f>
        <v>46283</v>
      </c>
      <c r="D18" s="9">
        <f t="shared" si="0"/>
        <v>3040636</v>
      </c>
      <c r="E18" s="9">
        <f t="shared" si="1"/>
        <v>3001235</v>
      </c>
      <c r="F18" s="9">
        <f t="shared" si="2"/>
        <v>25339</v>
      </c>
      <c r="G18" s="9">
        <f t="shared" si="3"/>
        <v>62099401</v>
      </c>
      <c r="H18" s="9">
        <f t="shared" si="4"/>
        <v>62060000</v>
      </c>
    </row>
    <row r="19" spans="1:8" ht="15.75" customHeight="1" x14ac:dyDescent="0.3">
      <c r="A19" s="34" t="s">
        <v>88</v>
      </c>
      <c r="B19" s="35">
        <v>180</v>
      </c>
      <c r="C19" s="36">
        <f>$B$5+180</f>
        <v>46343</v>
      </c>
      <c r="D19" s="13">
        <f t="shared" si="0"/>
        <v>4560955</v>
      </c>
      <c r="E19" s="13">
        <f t="shared" si="1"/>
        <v>4558571</v>
      </c>
      <c r="F19" s="13">
        <f t="shared" si="2"/>
        <v>25339</v>
      </c>
      <c r="G19" s="13">
        <f t="shared" si="3"/>
        <v>63619720</v>
      </c>
      <c r="H19" s="13">
        <f t="shared" si="4"/>
        <v>63617336</v>
      </c>
    </row>
    <row r="20" spans="1:8" ht="15.75" customHeight="1" x14ac:dyDescent="0.3">
      <c r="A20" s="37" t="s">
        <v>89</v>
      </c>
      <c r="B20" s="32">
        <v>365</v>
      </c>
      <c r="C20" s="33">
        <f>$B$5+365</f>
        <v>46528</v>
      </c>
      <c r="D20" s="9">
        <f t="shared" si="0"/>
        <v>9248603</v>
      </c>
      <c r="E20" s="9">
        <f t="shared" si="1"/>
        <v>9610685</v>
      </c>
      <c r="F20" s="9">
        <f t="shared" si="2"/>
        <v>25339</v>
      </c>
      <c r="G20" s="9">
        <f t="shared" si="3"/>
        <v>68307368</v>
      </c>
      <c r="H20" s="9">
        <f t="shared" si="4"/>
        <v>68669450</v>
      </c>
    </row>
    <row r="21" spans="1:8" ht="15.75" customHeight="1" x14ac:dyDescent="0.3">
      <c r="A21" s="34" t="s">
        <v>90</v>
      </c>
      <c r="B21" s="35">
        <v>730</v>
      </c>
      <c r="C21" s="36">
        <f>$B$5+730</f>
        <v>46893</v>
      </c>
      <c r="D21" s="13">
        <f t="shared" si="0"/>
        <v>18497205</v>
      </c>
      <c r="E21" s="13">
        <f t="shared" si="1"/>
        <v>20785326</v>
      </c>
      <c r="F21" s="13">
        <f t="shared" si="2"/>
        <v>25339</v>
      </c>
      <c r="G21" s="13">
        <f t="shared" si="3"/>
        <v>77555970</v>
      </c>
      <c r="H21" s="13">
        <f t="shared" si="4"/>
        <v>79844091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I18"/>
  <sheetViews>
    <sheetView tabSelected="1" zoomScaleNormal="100" workbookViewId="0">
      <selection sqref="A1:I1"/>
    </sheetView>
  </sheetViews>
  <sheetFormatPr defaultColWidth="8.6640625" defaultRowHeight="14.4" x14ac:dyDescent="0.3"/>
  <cols>
    <col min="1" max="1" width="26" customWidth="1"/>
    <col min="2" max="2" width="18" customWidth="1"/>
    <col min="3" max="6" width="16" customWidth="1"/>
    <col min="7" max="9" width="18" customWidth="1"/>
  </cols>
  <sheetData>
    <row r="1" spans="1:9" ht="15.75" customHeight="1" x14ac:dyDescent="0.3">
      <c r="A1" s="49" t="s">
        <v>91</v>
      </c>
      <c r="B1" s="49"/>
      <c r="C1" s="49"/>
      <c r="D1" s="49"/>
      <c r="E1" s="49"/>
      <c r="F1" s="49"/>
      <c r="G1" s="49"/>
      <c r="H1" s="49"/>
      <c r="I1" s="49"/>
    </row>
    <row r="2" spans="1:9" ht="24.75" customHeight="1" x14ac:dyDescent="0.3">
      <c r="A2" s="52" t="s">
        <v>92</v>
      </c>
      <c r="B2" s="52"/>
      <c r="C2" s="52"/>
      <c r="D2" s="52"/>
      <c r="E2" s="52"/>
      <c r="F2" s="52"/>
      <c r="G2" s="52"/>
      <c r="H2" s="52"/>
      <c r="I2" s="52"/>
    </row>
    <row r="4" spans="1:9" ht="15" customHeight="1" x14ac:dyDescent="0.3">
      <c r="A4" t="s">
        <v>93</v>
      </c>
      <c r="B4" s="30">
        <v>59058765</v>
      </c>
      <c r="C4" t="s">
        <v>53</v>
      </c>
      <c r="D4" s="18">
        <v>0.1116</v>
      </c>
      <c r="E4" t="s">
        <v>31</v>
      </c>
      <c r="F4" s="18">
        <v>4.4999999999999998E-2</v>
      </c>
      <c r="G4" t="s">
        <v>54</v>
      </c>
      <c r="H4" s="19">
        <f>D4+F4</f>
        <v>0.15660000000000002</v>
      </c>
    </row>
    <row r="6" spans="1:9" ht="34.5" customHeight="1" x14ac:dyDescent="0.3">
      <c r="A6" s="20" t="s">
        <v>94</v>
      </c>
      <c r="B6" s="20" t="s">
        <v>95</v>
      </c>
      <c r="C6" s="20" t="s">
        <v>96</v>
      </c>
      <c r="D6" s="20" t="s">
        <v>97</v>
      </c>
      <c r="E6" s="20" t="s">
        <v>98</v>
      </c>
      <c r="F6" s="20" t="s">
        <v>99</v>
      </c>
      <c r="G6" s="20" t="s">
        <v>100</v>
      </c>
      <c r="H6" s="20" t="s">
        <v>101</v>
      </c>
      <c r="I6" s="20" t="s">
        <v>102</v>
      </c>
    </row>
    <row r="7" spans="1:9" ht="15.75" customHeight="1" x14ac:dyDescent="0.3">
      <c r="A7" s="38" t="s">
        <v>34</v>
      </c>
      <c r="B7" s="32">
        <v>30</v>
      </c>
      <c r="C7" s="9">
        <f t="shared" ref="C7:C18" si="0">ROUND($B$4*$H$4*B7/365,0)</f>
        <v>760159</v>
      </c>
      <c r="D7" s="9">
        <f t="shared" ref="D7:D18" si="1">ROUND($B$4*((1+$H$4/2)^(2*B7/365)-1),0)</f>
        <v>736420</v>
      </c>
      <c r="E7" s="9">
        <f t="shared" ref="E7:E18" si="2">ROUND($B$4*((1+$H$4/4)^(4*B7/365)-1),0)</f>
        <v>750383</v>
      </c>
      <c r="F7" s="9">
        <f t="shared" ref="F7:F18" si="3">ROUND($B$4*((1+$H$4/12)^(12*B7/365)-1),0)</f>
        <v>760091</v>
      </c>
      <c r="G7" s="9">
        <f t="shared" ref="G7:G18" si="4">ROUND($B$4*((1+$H$4/365)^B7-1),0)</f>
        <v>764907</v>
      </c>
      <c r="H7" s="9">
        <f t="shared" ref="H7:H18" si="5">D7-C7</f>
        <v>-23739</v>
      </c>
      <c r="I7" s="39">
        <f t="shared" ref="I7:I18" si="6">(1+$H$4/2)^2-1</f>
        <v>0.16273089000000018</v>
      </c>
    </row>
    <row r="8" spans="1:9" ht="15.75" customHeight="1" x14ac:dyDescent="0.3">
      <c r="A8" s="40" t="s">
        <v>35</v>
      </c>
      <c r="B8" s="35">
        <v>60</v>
      </c>
      <c r="C8" s="13">
        <f t="shared" si="0"/>
        <v>1520318</v>
      </c>
      <c r="D8" s="13">
        <f t="shared" si="1"/>
        <v>1482023</v>
      </c>
      <c r="E8" s="13">
        <f t="shared" si="2"/>
        <v>1510301</v>
      </c>
      <c r="F8" s="13">
        <f t="shared" si="3"/>
        <v>1529965</v>
      </c>
      <c r="G8" s="13">
        <f t="shared" si="4"/>
        <v>1539721</v>
      </c>
      <c r="H8" s="13">
        <f t="shared" si="5"/>
        <v>-38295</v>
      </c>
      <c r="I8" s="41">
        <f t="shared" si="6"/>
        <v>0.16273089000000018</v>
      </c>
    </row>
    <row r="9" spans="1:9" ht="15.75" customHeight="1" x14ac:dyDescent="0.3">
      <c r="A9" s="38" t="s">
        <v>36</v>
      </c>
      <c r="B9" s="32">
        <v>90</v>
      </c>
      <c r="C9" s="9">
        <f t="shared" si="0"/>
        <v>2280477</v>
      </c>
      <c r="D9" s="9">
        <f t="shared" si="1"/>
        <v>2236922</v>
      </c>
      <c r="E9" s="9">
        <f t="shared" si="2"/>
        <v>2279874</v>
      </c>
      <c r="F9" s="9">
        <f t="shared" si="3"/>
        <v>2309748</v>
      </c>
      <c r="G9" s="9">
        <f t="shared" si="4"/>
        <v>2324570</v>
      </c>
      <c r="H9" s="9">
        <f t="shared" si="5"/>
        <v>-43555</v>
      </c>
      <c r="I9" s="39">
        <f t="shared" si="6"/>
        <v>0.16273089000000018</v>
      </c>
    </row>
    <row r="10" spans="1:9" ht="15.75" customHeight="1" x14ac:dyDescent="0.3">
      <c r="A10" s="40" t="s">
        <v>37</v>
      </c>
      <c r="B10" s="35">
        <v>120</v>
      </c>
      <c r="C10" s="13">
        <f t="shared" si="0"/>
        <v>3040636</v>
      </c>
      <c r="D10" s="13">
        <f t="shared" si="1"/>
        <v>3001235</v>
      </c>
      <c r="E10" s="13">
        <f t="shared" si="2"/>
        <v>3059225</v>
      </c>
      <c r="F10" s="13">
        <f t="shared" si="3"/>
        <v>3099566</v>
      </c>
      <c r="G10" s="13">
        <f t="shared" si="4"/>
        <v>3119584</v>
      </c>
      <c r="H10" s="13">
        <f t="shared" si="5"/>
        <v>-39401</v>
      </c>
      <c r="I10" s="41">
        <f t="shared" si="6"/>
        <v>0.16273089000000018</v>
      </c>
    </row>
    <row r="11" spans="1:9" ht="15.75" customHeight="1" x14ac:dyDescent="0.3">
      <c r="A11" s="38" t="s">
        <v>39</v>
      </c>
      <c r="B11" s="32">
        <v>180</v>
      </c>
      <c r="C11" s="9">
        <f t="shared" si="0"/>
        <v>4560955</v>
      </c>
      <c r="D11" s="9">
        <f t="shared" si="1"/>
        <v>4558571</v>
      </c>
      <c r="E11" s="9">
        <f t="shared" si="2"/>
        <v>4647759</v>
      </c>
      <c r="F11" s="9">
        <f t="shared" si="3"/>
        <v>4709828</v>
      </c>
      <c r="G11" s="9">
        <f t="shared" si="4"/>
        <v>4740636</v>
      </c>
      <c r="H11" s="9">
        <f t="shared" si="5"/>
        <v>-2384</v>
      </c>
      <c r="I11" s="39">
        <f t="shared" si="6"/>
        <v>0.16273089000000018</v>
      </c>
    </row>
    <row r="12" spans="1:9" ht="15.75" customHeight="1" x14ac:dyDescent="0.3">
      <c r="A12" s="40" t="s">
        <v>40</v>
      </c>
      <c r="B12" s="35">
        <v>270</v>
      </c>
      <c r="C12" s="13">
        <f t="shared" si="0"/>
        <v>6841432</v>
      </c>
      <c r="D12" s="13">
        <f t="shared" si="1"/>
        <v>6968155</v>
      </c>
      <c r="E12" s="13">
        <f t="shared" si="2"/>
        <v>7107052</v>
      </c>
      <c r="F12" s="13">
        <f t="shared" si="3"/>
        <v>7203774</v>
      </c>
      <c r="G12" s="13">
        <f t="shared" si="4"/>
        <v>7251799</v>
      </c>
      <c r="H12" s="13">
        <f t="shared" si="5"/>
        <v>126723</v>
      </c>
      <c r="I12" s="41">
        <f t="shared" si="6"/>
        <v>0.16273089000000018</v>
      </c>
    </row>
    <row r="13" spans="1:9" ht="15.75" customHeight="1" x14ac:dyDescent="0.3">
      <c r="A13" s="38" t="s">
        <v>103</v>
      </c>
      <c r="B13" s="32">
        <v>365</v>
      </c>
      <c r="C13" s="9">
        <f t="shared" si="0"/>
        <v>9248603</v>
      </c>
      <c r="D13" s="9">
        <f t="shared" si="1"/>
        <v>9610685</v>
      </c>
      <c r="E13" s="9">
        <f t="shared" si="2"/>
        <v>9806041</v>
      </c>
      <c r="F13" s="9">
        <f t="shared" si="3"/>
        <v>9942163</v>
      </c>
      <c r="G13" s="9">
        <f t="shared" si="4"/>
        <v>10009777</v>
      </c>
      <c r="H13" s="9">
        <f t="shared" si="5"/>
        <v>362082</v>
      </c>
      <c r="I13" s="39">
        <f t="shared" si="6"/>
        <v>0.16273089000000018</v>
      </c>
    </row>
    <row r="14" spans="1:9" ht="15.75" customHeight="1" x14ac:dyDescent="0.3">
      <c r="A14" s="40" t="s">
        <v>104</v>
      </c>
      <c r="B14" s="35">
        <v>547</v>
      </c>
      <c r="C14" s="13">
        <f t="shared" si="0"/>
        <v>13860235</v>
      </c>
      <c r="D14" s="13">
        <f t="shared" si="1"/>
        <v>14972212</v>
      </c>
      <c r="E14" s="13">
        <f t="shared" si="2"/>
        <v>15288060</v>
      </c>
      <c r="F14" s="13">
        <f t="shared" si="3"/>
        <v>15508404</v>
      </c>
      <c r="G14" s="13">
        <f t="shared" si="4"/>
        <v>15617934</v>
      </c>
      <c r="H14" s="13">
        <f t="shared" si="5"/>
        <v>1111977</v>
      </c>
      <c r="I14" s="41">
        <f t="shared" si="6"/>
        <v>0.16273089000000018</v>
      </c>
    </row>
    <row r="15" spans="1:9" ht="15.75" customHeight="1" x14ac:dyDescent="0.3">
      <c r="A15" s="38" t="s">
        <v>105</v>
      </c>
      <c r="B15" s="32">
        <v>730</v>
      </c>
      <c r="C15" s="9">
        <f t="shared" si="0"/>
        <v>18497205</v>
      </c>
      <c r="D15" s="9">
        <f t="shared" si="1"/>
        <v>20785326</v>
      </c>
      <c r="E15" s="9">
        <f t="shared" si="2"/>
        <v>21240265</v>
      </c>
      <c r="F15" s="9">
        <f t="shared" si="3"/>
        <v>21558025</v>
      </c>
      <c r="G15" s="9">
        <f t="shared" si="4"/>
        <v>21716096</v>
      </c>
      <c r="H15" s="9">
        <f t="shared" si="5"/>
        <v>2288121</v>
      </c>
      <c r="I15" s="39">
        <f t="shared" si="6"/>
        <v>0.16273089000000018</v>
      </c>
    </row>
    <row r="16" spans="1:9" ht="15.75" customHeight="1" x14ac:dyDescent="0.3">
      <c r="A16" s="40" t="s">
        <v>106</v>
      </c>
      <c r="B16" s="35">
        <v>1095</v>
      </c>
      <c r="C16" s="13">
        <f t="shared" si="0"/>
        <v>27745808</v>
      </c>
      <c r="D16" s="13">
        <f t="shared" si="1"/>
        <v>33778426</v>
      </c>
      <c r="E16" s="13">
        <f t="shared" si="2"/>
        <v>34573012</v>
      </c>
      <c r="F16" s="13">
        <f t="shared" si="3"/>
        <v>35129343</v>
      </c>
      <c r="G16" s="13">
        <f t="shared" si="4"/>
        <v>35406501</v>
      </c>
      <c r="H16" s="13">
        <f t="shared" si="5"/>
        <v>6032618</v>
      </c>
      <c r="I16" s="41">
        <f t="shared" si="6"/>
        <v>0.16273089000000018</v>
      </c>
    </row>
    <row r="17" spans="1:9" ht="15.75" customHeight="1" x14ac:dyDescent="0.3">
      <c r="A17" s="38" t="s">
        <v>107</v>
      </c>
      <c r="B17" s="32">
        <v>1461</v>
      </c>
      <c r="C17" s="9">
        <f t="shared" si="0"/>
        <v>37019749</v>
      </c>
      <c r="D17" s="9">
        <f t="shared" si="1"/>
        <v>48930503</v>
      </c>
      <c r="E17" s="9">
        <f t="shared" si="2"/>
        <v>50165469</v>
      </c>
      <c r="F17" s="9">
        <f t="shared" si="3"/>
        <v>51032223</v>
      </c>
      <c r="G17" s="9">
        <f t="shared" si="4"/>
        <v>51464670</v>
      </c>
      <c r="H17" s="9">
        <f t="shared" si="5"/>
        <v>11910754</v>
      </c>
      <c r="I17" s="39">
        <f t="shared" si="6"/>
        <v>0.16273089000000018</v>
      </c>
    </row>
    <row r="18" spans="1:9" ht="15.75" customHeight="1" x14ac:dyDescent="0.3">
      <c r="A18" s="40" t="s">
        <v>108</v>
      </c>
      <c r="B18" s="35">
        <v>1826</v>
      </c>
      <c r="C18" s="13">
        <f t="shared" si="0"/>
        <v>46268352</v>
      </c>
      <c r="D18" s="13">
        <f t="shared" si="1"/>
        <v>66503693</v>
      </c>
      <c r="E18" s="13">
        <f t="shared" si="2"/>
        <v>68300920</v>
      </c>
      <c r="F18" s="13">
        <f t="shared" si="3"/>
        <v>69565332</v>
      </c>
      <c r="G18" s="13">
        <f t="shared" si="4"/>
        <v>70197113</v>
      </c>
      <c r="H18" s="13">
        <f t="shared" si="5"/>
        <v>20235341</v>
      </c>
      <c r="I18" s="41">
        <f t="shared" si="6"/>
        <v>0.16273089000000018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H26"/>
  <sheetViews>
    <sheetView zoomScaleNormal="100" workbookViewId="0">
      <selection sqref="A1:H1"/>
    </sheetView>
  </sheetViews>
  <sheetFormatPr defaultColWidth="8.6640625" defaultRowHeight="14.4" x14ac:dyDescent="0.3"/>
  <cols>
    <col min="1" max="1" width="22" customWidth="1"/>
    <col min="2" max="3" width="18" customWidth="1"/>
    <col min="4" max="6" width="16" customWidth="1"/>
    <col min="7" max="8" width="18" customWidth="1"/>
  </cols>
  <sheetData>
    <row r="1" spans="1:8" ht="15.75" customHeight="1" x14ac:dyDescent="0.3">
      <c r="A1" s="49" t="s">
        <v>109</v>
      </c>
      <c r="B1" s="49"/>
      <c r="C1" s="49"/>
      <c r="D1" s="49"/>
      <c r="E1" s="49"/>
      <c r="F1" s="49"/>
      <c r="G1" s="49"/>
      <c r="H1" s="49"/>
    </row>
    <row r="2" spans="1:8" ht="15" customHeight="1" x14ac:dyDescent="0.3">
      <c r="A2" s="52" t="s">
        <v>110</v>
      </c>
      <c r="B2" s="52"/>
      <c r="C2" s="52"/>
      <c r="D2" s="52"/>
      <c r="E2" s="52"/>
      <c r="F2" s="52"/>
      <c r="G2" s="52"/>
      <c r="H2" s="52"/>
    </row>
    <row r="4" spans="1:8" ht="15" customHeight="1" x14ac:dyDescent="0.3">
      <c r="A4" t="s">
        <v>111</v>
      </c>
      <c r="B4" s="30">
        <v>59058765</v>
      </c>
      <c r="C4" t="s">
        <v>112</v>
      </c>
      <c r="D4" s="19">
        <f>0.1116+0.045</f>
        <v>0.15660000000000002</v>
      </c>
      <c r="E4" t="s">
        <v>113</v>
      </c>
      <c r="F4" s="19">
        <f>D4/2</f>
        <v>7.8300000000000008E-2</v>
      </c>
    </row>
    <row r="6" spans="1:8" ht="30" customHeight="1" x14ac:dyDescent="0.3">
      <c r="A6" s="20" t="s">
        <v>114</v>
      </c>
      <c r="B6" s="20" t="s">
        <v>115</v>
      </c>
      <c r="C6" s="20" t="s">
        <v>116</v>
      </c>
      <c r="D6" s="20" t="s">
        <v>117</v>
      </c>
      <c r="E6" s="20" t="s">
        <v>118</v>
      </c>
      <c r="F6" s="20" t="s">
        <v>25</v>
      </c>
      <c r="G6" s="20" t="s">
        <v>119</v>
      </c>
      <c r="H6" s="20" t="s">
        <v>120</v>
      </c>
    </row>
    <row r="7" spans="1:8" ht="15.75" customHeight="1" x14ac:dyDescent="0.3">
      <c r="A7" s="38" t="s">
        <v>121</v>
      </c>
      <c r="B7" s="38">
        <v>1</v>
      </c>
      <c r="C7" s="9">
        <f>$B$4</f>
        <v>59058765</v>
      </c>
      <c r="D7" s="9">
        <f t="shared" ref="D7:D26" si="0">ROUND(C7*E7,0)</f>
        <v>4624301</v>
      </c>
      <c r="E7" s="39">
        <f t="shared" ref="E7:E26" si="1">$F$4</f>
        <v>7.8300000000000008E-2</v>
      </c>
      <c r="F7" s="9">
        <f>D7</f>
        <v>4624301</v>
      </c>
      <c r="G7" s="9">
        <f t="shared" ref="G7:G26" si="2">C7+D7</f>
        <v>63683066</v>
      </c>
      <c r="H7" s="42">
        <f t="shared" ref="H7:H26" si="3">G7/$B$4</f>
        <v>1.0782999949287799</v>
      </c>
    </row>
    <row r="8" spans="1:8" ht="15.75" customHeight="1" x14ac:dyDescent="0.3">
      <c r="A8" s="40" t="s">
        <v>122</v>
      </c>
      <c r="B8" s="40">
        <v>2</v>
      </c>
      <c r="C8" s="13">
        <f t="shared" ref="C8:C26" si="4">G7</f>
        <v>63683066</v>
      </c>
      <c r="D8" s="13">
        <f t="shared" si="0"/>
        <v>4986384</v>
      </c>
      <c r="E8" s="41">
        <f t="shared" si="1"/>
        <v>7.8300000000000008E-2</v>
      </c>
      <c r="F8" s="13">
        <f t="shared" ref="F8:F26" si="5">F7+D8</f>
        <v>9610685</v>
      </c>
      <c r="G8" s="13">
        <f t="shared" si="2"/>
        <v>68669450</v>
      </c>
      <c r="H8" s="43">
        <f t="shared" si="3"/>
        <v>1.1627308833836942</v>
      </c>
    </row>
    <row r="9" spans="1:8" ht="15.75" customHeight="1" x14ac:dyDescent="0.3">
      <c r="A9" s="38" t="s">
        <v>123</v>
      </c>
      <c r="B9" s="38">
        <v>3</v>
      </c>
      <c r="C9" s="9">
        <f t="shared" si="4"/>
        <v>68669450</v>
      </c>
      <c r="D9" s="9">
        <f t="shared" si="0"/>
        <v>5376818</v>
      </c>
      <c r="E9" s="39">
        <f t="shared" si="1"/>
        <v>7.8300000000000008E-2</v>
      </c>
      <c r="F9" s="9">
        <f t="shared" si="5"/>
        <v>14987503</v>
      </c>
      <c r="G9" s="9">
        <f t="shared" si="2"/>
        <v>74046268</v>
      </c>
      <c r="H9" s="42">
        <f t="shared" si="3"/>
        <v>1.2537727126532361</v>
      </c>
    </row>
    <row r="10" spans="1:8" ht="15.75" customHeight="1" x14ac:dyDescent="0.3">
      <c r="A10" s="40" t="s">
        <v>124</v>
      </c>
      <c r="B10" s="40">
        <v>4</v>
      </c>
      <c r="C10" s="13">
        <f t="shared" si="4"/>
        <v>74046268</v>
      </c>
      <c r="D10" s="13">
        <f t="shared" si="0"/>
        <v>5797823</v>
      </c>
      <c r="E10" s="41">
        <f t="shared" si="1"/>
        <v>7.8300000000000008E-2</v>
      </c>
      <c r="F10" s="13">
        <f t="shared" si="5"/>
        <v>20785326</v>
      </c>
      <c r="G10" s="13">
        <f t="shared" si="2"/>
        <v>79844091</v>
      </c>
      <c r="H10" s="43">
        <f t="shared" si="3"/>
        <v>1.3519431197045857</v>
      </c>
    </row>
    <row r="11" spans="1:8" ht="15.75" customHeight="1" x14ac:dyDescent="0.3">
      <c r="A11" s="38" t="s">
        <v>125</v>
      </c>
      <c r="B11" s="38">
        <v>5</v>
      </c>
      <c r="C11" s="9">
        <f t="shared" si="4"/>
        <v>79844091</v>
      </c>
      <c r="D11" s="9">
        <f t="shared" si="0"/>
        <v>6251792</v>
      </c>
      <c r="E11" s="39">
        <f t="shared" si="1"/>
        <v>7.8300000000000008E-2</v>
      </c>
      <c r="F11" s="9">
        <f t="shared" si="5"/>
        <v>27037118</v>
      </c>
      <c r="G11" s="9">
        <f t="shared" si="2"/>
        <v>86095883</v>
      </c>
      <c r="H11" s="42">
        <f t="shared" si="3"/>
        <v>1.4578002604693816</v>
      </c>
    </row>
    <row r="12" spans="1:8" ht="15.75" customHeight="1" x14ac:dyDescent="0.3">
      <c r="A12" s="40" t="s">
        <v>126</v>
      </c>
      <c r="B12" s="40">
        <v>6</v>
      </c>
      <c r="C12" s="13">
        <f t="shared" si="4"/>
        <v>86095883</v>
      </c>
      <c r="D12" s="13">
        <f t="shared" si="0"/>
        <v>6741308</v>
      </c>
      <c r="E12" s="41">
        <f t="shared" si="1"/>
        <v>7.8300000000000008E-2</v>
      </c>
      <c r="F12" s="13">
        <f t="shared" si="5"/>
        <v>33778426</v>
      </c>
      <c r="G12" s="13">
        <f t="shared" si="2"/>
        <v>92837191</v>
      </c>
      <c r="H12" s="43">
        <f t="shared" si="3"/>
        <v>1.5719460269783834</v>
      </c>
    </row>
    <row r="13" spans="1:8" ht="15.75" customHeight="1" x14ac:dyDescent="0.3">
      <c r="A13" s="38" t="s">
        <v>127</v>
      </c>
      <c r="B13" s="38">
        <v>7</v>
      </c>
      <c r="C13" s="9">
        <f t="shared" si="4"/>
        <v>92837191</v>
      </c>
      <c r="D13" s="9">
        <f t="shared" si="0"/>
        <v>7269152</v>
      </c>
      <c r="E13" s="39">
        <f t="shared" si="1"/>
        <v>7.8300000000000008E-2</v>
      </c>
      <c r="F13" s="9">
        <f t="shared" si="5"/>
        <v>41047578</v>
      </c>
      <c r="G13" s="9">
        <f t="shared" si="2"/>
        <v>100106343</v>
      </c>
      <c r="H13" s="42">
        <f t="shared" si="3"/>
        <v>1.6950293999544352</v>
      </c>
    </row>
    <row r="14" spans="1:8" ht="15.75" customHeight="1" x14ac:dyDescent="0.3">
      <c r="A14" s="40" t="s">
        <v>128</v>
      </c>
      <c r="B14" s="40">
        <v>8</v>
      </c>
      <c r="C14" s="13">
        <f t="shared" si="4"/>
        <v>100106343</v>
      </c>
      <c r="D14" s="13">
        <f t="shared" si="0"/>
        <v>7838327</v>
      </c>
      <c r="E14" s="41">
        <f t="shared" si="1"/>
        <v>7.8300000000000008E-2</v>
      </c>
      <c r="F14" s="13">
        <f t="shared" si="5"/>
        <v>48885905</v>
      </c>
      <c r="G14" s="13">
        <f t="shared" si="2"/>
        <v>107944670</v>
      </c>
      <c r="H14" s="43">
        <f t="shared" si="3"/>
        <v>1.8277502077803354</v>
      </c>
    </row>
    <row r="15" spans="1:8" ht="15.75" customHeight="1" x14ac:dyDescent="0.3">
      <c r="A15" s="38" t="s">
        <v>129</v>
      </c>
      <c r="B15" s="38">
        <v>9</v>
      </c>
      <c r="C15" s="9">
        <f t="shared" si="4"/>
        <v>107944670</v>
      </c>
      <c r="D15" s="9">
        <f t="shared" si="0"/>
        <v>8452068</v>
      </c>
      <c r="E15" s="39">
        <f t="shared" si="1"/>
        <v>7.8300000000000008E-2</v>
      </c>
      <c r="F15" s="9">
        <f t="shared" si="5"/>
        <v>57337973</v>
      </c>
      <c r="G15" s="9">
        <f t="shared" si="2"/>
        <v>116396738</v>
      </c>
      <c r="H15" s="42">
        <f t="shared" si="3"/>
        <v>1.9708630547895811</v>
      </c>
    </row>
    <row r="16" spans="1:8" ht="15.75" customHeight="1" x14ac:dyDescent="0.3">
      <c r="A16" s="40" t="s">
        <v>130</v>
      </c>
      <c r="B16" s="40">
        <v>10</v>
      </c>
      <c r="C16" s="13">
        <f t="shared" si="4"/>
        <v>116396738</v>
      </c>
      <c r="D16" s="13">
        <f t="shared" si="0"/>
        <v>9113865</v>
      </c>
      <c r="E16" s="41">
        <f t="shared" si="1"/>
        <v>7.8300000000000008E-2</v>
      </c>
      <c r="F16" s="13">
        <f t="shared" si="5"/>
        <v>66451838</v>
      </c>
      <c r="G16" s="13">
        <f t="shared" si="2"/>
        <v>125510603</v>
      </c>
      <c r="H16" s="43">
        <f t="shared" si="3"/>
        <v>2.1251816389997318</v>
      </c>
    </row>
    <row r="17" spans="1:8" ht="15.75" customHeight="1" x14ac:dyDescent="0.3">
      <c r="A17" s="38" t="s">
        <v>131</v>
      </c>
      <c r="B17" s="38">
        <v>11</v>
      </c>
      <c r="C17" s="9">
        <f t="shared" si="4"/>
        <v>125510603</v>
      </c>
      <c r="D17" s="9">
        <f t="shared" si="0"/>
        <v>9827480</v>
      </c>
      <c r="E17" s="39">
        <f t="shared" si="1"/>
        <v>7.8300000000000008E-2</v>
      </c>
      <c r="F17" s="9">
        <f t="shared" si="5"/>
        <v>76279318</v>
      </c>
      <c r="G17" s="9">
        <f t="shared" si="2"/>
        <v>135338083</v>
      </c>
      <c r="H17" s="42">
        <f t="shared" si="3"/>
        <v>2.291583357694662</v>
      </c>
    </row>
    <row r="18" spans="1:8" ht="15.75" customHeight="1" x14ac:dyDescent="0.3">
      <c r="A18" s="40" t="s">
        <v>132</v>
      </c>
      <c r="B18" s="40">
        <v>12</v>
      </c>
      <c r="C18" s="13">
        <f t="shared" si="4"/>
        <v>135338083</v>
      </c>
      <c r="D18" s="13">
        <f t="shared" si="0"/>
        <v>10596972</v>
      </c>
      <c r="E18" s="41">
        <f t="shared" si="1"/>
        <v>7.8300000000000008E-2</v>
      </c>
      <c r="F18" s="13">
        <f t="shared" si="5"/>
        <v>86876290</v>
      </c>
      <c r="G18" s="13">
        <f t="shared" si="2"/>
        <v>145935055</v>
      </c>
      <c r="H18" s="43">
        <f t="shared" si="3"/>
        <v>2.4710143363140085</v>
      </c>
    </row>
    <row r="19" spans="1:8" ht="15.75" customHeight="1" x14ac:dyDescent="0.3">
      <c r="A19" s="38" t="s">
        <v>133</v>
      </c>
      <c r="B19" s="38">
        <v>13</v>
      </c>
      <c r="C19" s="9">
        <f t="shared" si="4"/>
        <v>145935055</v>
      </c>
      <c r="D19" s="9">
        <f t="shared" si="0"/>
        <v>11426715</v>
      </c>
      <c r="E19" s="39">
        <f t="shared" si="1"/>
        <v>7.8300000000000008E-2</v>
      </c>
      <c r="F19" s="9">
        <f t="shared" si="5"/>
        <v>98303005</v>
      </c>
      <c r="G19" s="9">
        <f t="shared" si="2"/>
        <v>157361770</v>
      </c>
      <c r="H19" s="42">
        <f t="shared" si="3"/>
        <v>2.6644947621237933</v>
      </c>
    </row>
    <row r="20" spans="1:8" ht="15.75" customHeight="1" x14ac:dyDescent="0.3">
      <c r="A20" s="40" t="s">
        <v>134</v>
      </c>
      <c r="B20" s="40">
        <v>14</v>
      </c>
      <c r="C20" s="13">
        <f t="shared" si="4"/>
        <v>157361770</v>
      </c>
      <c r="D20" s="13">
        <f t="shared" si="0"/>
        <v>12321427</v>
      </c>
      <c r="E20" s="41">
        <f t="shared" si="1"/>
        <v>7.8300000000000008E-2</v>
      </c>
      <c r="F20" s="13">
        <f t="shared" si="5"/>
        <v>110624432</v>
      </c>
      <c r="G20" s="13">
        <f t="shared" si="2"/>
        <v>169683197</v>
      </c>
      <c r="H20" s="43">
        <f t="shared" si="3"/>
        <v>2.8731247089233918</v>
      </c>
    </row>
    <row r="21" spans="1:8" ht="15.75" customHeight="1" x14ac:dyDescent="0.3">
      <c r="A21" s="38" t="s">
        <v>135</v>
      </c>
      <c r="B21" s="38">
        <v>15</v>
      </c>
      <c r="C21" s="9">
        <f t="shared" si="4"/>
        <v>169683197</v>
      </c>
      <c r="D21" s="9">
        <f t="shared" si="0"/>
        <v>13286194</v>
      </c>
      <c r="E21" s="39">
        <f t="shared" si="1"/>
        <v>7.8300000000000008E-2</v>
      </c>
      <c r="F21" s="9">
        <f t="shared" si="5"/>
        <v>123910626</v>
      </c>
      <c r="G21" s="9">
        <f t="shared" si="2"/>
        <v>182969391</v>
      </c>
      <c r="H21" s="42">
        <f t="shared" si="3"/>
        <v>3.0980903681274068</v>
      </c>
    </row>
    <row r="22" spans="1:8" ht="15.75" customHeight="1" x14ac:dyDescent="0.3">
      <c r="A22" s="40" t="s">
        <v>136</v>
      </c>
      <c r="B22" s="40">
        <v>16</v>
      </c>
      <c r="C22" s="13">
        <f t="shared" si="4"/>
        <v>182969391</v>
      </c>
      <c r="D22" s="13">
        <f t="shared" si="0"/>
        <v>14326503</v>
      </c>
      <c r="E22" s="41">
        <f t="shared" si="1"/>
        <v>7.8300000000000008E-2</v>
      </c>
      <c r="F22" s="13">
        <f t="shared" si="5"/>
        <v>138237129</v>
      </c>
      <c r="G22" s="13">
        <f t="shared" si="2"/>
        <v>197295894</v>
      </c>
      <c r="H22" s="43">
        <f t="shared" si="3"/>
        <v>3.3406708386130322</v>
      </c>
    </row>
    <row r="23" spans="1:8" ht="15.75" customHeight="1" x14ac:dyDescent="0.3">
      <c r="A23" s="38" t="s">
        <v>137</v>
      </c>
      <c r="B23" s="38">
        <v>17</v>
      </c>
      <c r="C23" s="9">
        <f t="shared" si="4"/>
        <v>197295894</v>
      </c>
      <c r="D23" s="9">
        <f t="shared" si="0"/>
        <v>15448269</v>
      </c>
      <c r="E23" s="39">
        <f t="shared" si="1"/>
        <v>7.8300000000000008E-2</v>
      </c>
      <c r="F23" s="9">
        <f t="shared" si="5"/>
        <v>153685398</v>
      </c>
      <c r="G23" s="9">
        <f t="shared" si="2"/>
        <v>212744163</v>
      </c>
      <c r="H23" s="42">
        <f t="shared" si="3"/>
        <v>3.6022453737391902</v>
      </c>
    </row>
    <row r="24" spans="1:8" ht="15.75" customHeight="1" x14ac:dyDescent="0.3">
      <c r="A24" s="40" t="s">
        <v>138</v>
      </c>
      <c r="B24" s="40">
        <v>18</v>
      </c>
      <c r="C24" s="13">
        <f t="shared" si="4"/>
        <v>212744163</v>
      </c>
      <c r="D24" s="13">
        <f t="shared" si="0"/>
        <v>16657868</v>
      </c>
      <c r="E24" s="41">
        <f t="shared" si="1"/>
        <v>7.8300000000000008E-2</v>
      </c>
      <c r="F24" s="13">
        <f t="shared" si="5"/>
        <v>170343266</v>
      </c>
      <c r="G24" s="13">
        <f t="shared" si="2"/>
        <v>229402031</v>
      </c>
      <c r="H24" s="43">
        <f t="shared" si="3"/>
        <v>3.8843011871311566</v>
      </c>
    </row>
    <row r="25" spans="1:8" ht="15.75" customHeight="1" x14ac:dyDescent="0.3">
      <c r="A25" s="38" t="s">
        <v>139</v>
      </c>
      <c r="B25" s="38">
        <v>19</v>
      </c>
      <c r="C25" s="9">
        <f t="shared" si="4"/>
        <v>229402031</v>
      </c>
      <c r="D25" s="9">
        <f t="shared" si="0"/>
        <v>17962179</v>
      </c>
      <c r="E25" s="39">
        <f t="shared" si="1"/>
        <v>7.8300000000000008E-2</v>
      </c>
      <c r="F25" s="9">
        <f t="shared" si="5"/>
        <v>188305445</v>
      </c>
      <c r="G25" s="9">
        <f t="shared" si="2"/>
        <v>247364210</v>
      </c>
      <c r="H25" s="42">
        <f t="shared" si="3"/>
        <v>4.1884419696212749</v>
      </c>
    </row>
    <row r="26" spans="1:8" ht="15.75" customHeight="1" x14ac:dyDescent="0.3">
      <c r="A26" s="40" t="s">
        <v>140</v>
      </c>
      <c r="B26" s="40">
        <v>20</v>
      </c>
      <c r="C26" s="13">
        <f t="shared" si="4"/>
        <v>247364210</v>
      </c>
      <c r="D26" s="13">
        <f t="shared" si="0"/>
        <v>19368618</v>
      </c>
      <c r="E26" s="41">
        <f t="shared" si="1"/>
        <v>7.8300000000000008E-2</v>
      </c>
      <c r="F26" s="13">
        <f t="shared" si="5"/>
        <v>207674063</v>
      </c>
      <c r="G26" s="13">
        <f t="shared" si="2"/>
        <v>266732828</v>
      </c>
      <c r="H26" s="43">
        <f t="shared" si="3"/>
        <v>4.5163969818874472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Primary Scenario</vt:lpstr>
      <vt:lpstr>Interest – Months in Columns</vt:lpstr>
      <vt:lpstr>Interest – Months in Rows</vt:lpstr>
      <vt:lpstr>Sc-A DPI Interest Delayed</vt:lpstr>
      <vt:lpstr>Sc-B Total Invoice Delayed</vt:lpstr>
      <vt:lpstr>Sc-C Compound Interest</vt:lpstr>
      <vt:lpstr>Sc-D Rolling Accumulation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Sibtain Tahir</cp:lastModifiedBy>
  <cp:revision>0</cp:revision>
  <dcterms:created xsi:type="dcterms:W3CDTF">2026-05-13T05:50:04Z</dcterms:created>
  <dcterms:modified xsi:type="dcterms:W3CDTF">2026-05-13T06:11:04Z</dcterms:modified>
  <dc:language>en-US</dc:language>
</cp:coreProperties>
</file>