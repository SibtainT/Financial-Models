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i Development\Ai-PDF-Reader\input\"/>
    </mc:Choice>
  </mc:AlternateContent>
  <xr:revisionPtr revIDLastSave="0" documentId="8_{5D8B9FE5-D72C-45C9-8DFC-87341C339020}" xr6:coauthVersionLast="47" xr6:coauthVersionMax="47" xr10:uidLastSave="{00000000-0000-0000-0000-000000000000}"/>
  <bookViews>
    <workbookView xWindow="-108" yWindow="-108" windowWidth="23256" windowHeight="12456" tabRatio="500" activeTab="6" xr2:uid="{00000000-000D-0000-FFFF-FFFF00000000}"/>
  </bookViews>
  <sheets>
    <sheet name="COVER" sheetId="1" r:id="rId1"/>
    <sheet name="EPA CLAUSES" sheetId="2" r:id="rId2"/>
    <sheet name="TAX LAW REGISTER" sheetId="3" r:id="rId3"/>
    <sheet name="AWPPL TAX MODEL" sheetId="4" r:id="rId4"/>
    <sheet name="CEPL TAX MODEL" sheetId="5" r:id="rId5"/>
    <sheet name="INVOICE AUDIT" sheetId="6" r:id="rId6"/>
    <sheet name="FBR RETURN RECONCIL" sheetId="7" r:id="rId7"/>
    <sheet name="SCENARIO ENGINE" sheetId="8" r:id="rId8"/>
    <sheet name="CURSOR PROMPT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8" l="1"/>
  <c r="D26" i="8"/>
  <c r="H26" i="8" s="1"/>
  <c r="C26" i="8"/>
  <c r="I25" i="8"/>
  <c r="D25" i="8"/>
  <c r="H25" i="8" s="1"/>
  <c r="C25" i="8"/>
  <c r="F24" i="8"/>
  <c r="D24" i="8"/>
  <c r="C24" i="8"/>
  <c r="I23" i="8"/>
  <c r="H23" i="8"/>
  <c r="F23" i="8"/>
  <c r="D23" i="8"/>
  <c r="C23" i="8"/>
  <c r="I22" i="8"/>
  <c r="D22" i="8"/>
  <c r="H22" i="8" s="1"/>
  <c r="C22" i="8"/>
  <c r="I21" i="8"/>
  <c r="F21" i="8"/>
  <c r="E21" i="8"/>
  <c r="D21" i="8"/>
  <c r="H21" i="8" s="1"/>
  <c r="C21" i="8"/>
  <c r="I20" i="8"/>
  <c r="H20" i="8"/>
  <c r="F20" i="8"/>
  <c r="E20" i="8"/>
  <c r="D20" i="8"/>
  <c r="C20" i="8"/>
  <c r="F19" i="8"/>
  <c r="D18" i="8"/>
  <c r="I18" i="8" s="1"/>
  <c r="C18" i="8"/>
  <c r="F17" i="8"/>
  <c r="I16" i="8"/>
  <c r="H16" i="8"/>
  <c r="D16" i="8"/>
  <c r="F16" i="8" s="1"/>
  <c r="C16" i="8"/>
  <c r="H11" i="5"/>
  <c r="G11" i="5"/>
  <c r="D11" i="5"/>
  <c r="G10" i="5"/>
  <c r="D10" i="5"/>
  <c r="D9" i="5"/>
  <c r="G9" i="5" s="1"/>
  <c r="D8" i="5"/>
  <c r="G8" i="5" s="1"/>
  <c r="G7" i="5"/>
  <c r="D7" i="5"/>
  <c r="G6" i="5"/>
  <c r="D6" i="5"/>
  <c r="G46" i="4"/>
  <c r="H46" i="4" s="1"/>
  <c r="F46" i="4"/>
  <c r="D46" i="4"/>
  <c r="E46" i="4" s="1"/>
  <c r="C46" i="4"/>
  <c r="G20" i="4"/>
  <c r="G19" i="4"/>
  <c r="G18" i="4"/>
  <c r="G17" i="4"/>
  <c r="G16" i="4"/>
  <c r="G15" i="4"/>
  <c r="H11" i="4"/>
  <c r="D11" i="4"/>
  <c r="G11" i="4" s="1"/>
  <c r="G10" i="4"/>
  <c r="D10" i="4"/>
  <c r="D9" i="4"/>
  <c r="G9" i="4" s="1"/>
  <c r="D8" i="4"/>
  <c r="G8" i="4" s="1"/>
  <c r="D7" i="4"/>
  <c r="G7" i="4" s="1"/>
  <c r="G6" i="4"/>
  <c r="D6" i="4"/>
  <c r="F25" i="8" l="1"/>
  <c r="F18" i="8"/>
  <c r="H18" i="8"/>
  <c r="F22" i="8"/>
  <c r="F26" i="8"/>
</calcChain>
</file>

<file path=xl/sharedStrings.xml><?xml version="1.0" encoding="utf-8"?>
<sst xmlns="http://schemas.openxmlformats.org/spreadsheetml/2006/main" count="852" uniqueCount="660">
  <si>
    <t>COMPREHENSIVE TAX COMPLIANCE &amp; INVOICE AUDIT MODEL
IPP Energy Sector | Pakistan | CPPA-G | March 2026</t>
  </si>
  <si>
    <t>AWPPL (Agreement Year 5) &amp; CEPL (Agreement Year 10) | EPA-Based | GST · Income Tax · FED · Custom Duty · WHT | All Tax Heads Covered</t>
  </si>
  <si>
    <t>TABLE OF CONTENTS</t>
  </si>
  <si>
    <t>#</t>
  </si>
  <si>
    <t>Sheet Name</t>
  </si>
  <si>
    <t>Description</t>
  </si>
  <si>
    <t>1</t>
  </si>
  <si>
    <t>COVER</t>
  </si>
  <si>
    <t>This page – navigation &amp; colour guide</t>
  </si>
  <si>
    <t>2</t>
  </si>
  <si>
    <t>EPA CLAUSES</t>
  </si>
  <si>
    <t>Key contract clauses driving tax obligations</t>
  </si>
  <si>
    <t>3</t>
  </si>
  <si>
    <t>TAX LAW REGISTER</t>
  </si>
  <si>
    <t>Applicable statutes, sections &amp; rates</t>
  </si>
  <si>
    <t>4</t>
  </si>
  <si>
    <t>AWPPL TAX MODEL</t>
  </si>
  <si>
    <t>Complete tax computation – Artistic Wind Power</t>
  </si>
  <si>
    <t>5</t>
  </si>
  <si>
    <t>CEPL TAX MODEL</t>
  </si>
  <si>
    <t>Complete tax computation – Crest Energy</t>
  </si>
  <si>
    <t>6</t>
  </si>
  <si>
    <t>INVOICE AUDIT</t>
  </si>
  <si>
    <t>Claimed vs Verified vs Statutory – both IPPs</t>
  </si>
  <si>
    <t>7</t>
  </si>
  <si>
    <t>FBR RETURN RECONCIL</t>
  </si>
  <si>
    <t>AWPPL GST return vs invoice vs FBR data</t>
  </si>
  <si>
    <t>8</t>
  </si>
  <si>
    <t>SCENARIO ENGINE</t>
  </si>
  <si>
    <t>What-if for every tax head &amp; rate change</t>
  </si>
  <si>
    <t>9</t>
  </si>
  <si>
    <t>CURSOR PROMPT</t>
  </si>
  <si>
    <t>AI-ready prompt for regeneration &amp; extension</t>
  </si>
  <si>
    <t>COLOUR CODING GUIDE</t>
  </si>
  <si>
    <t>Blue text</t>
  </si>
  <si>
    <t>Hardcoded input cells – user changes these</t>
  </si>
  <si>
    <t>Black text</t>
  </si>
  <si>
    <t>Formula / calculated cells – do NOT hardcode</t>
  </si>
  <si>
    <t>Green text</t>
  </si>
  <si>
    <t>Cross-sheet links</t>
  </si>
  <si>
    <t>Amber fill</t>
  </si>
  <si>
    <t>Key assumptions requiring review</t>
  </si>
  <si>
    <t>Green fill</t>
  </si>
  <si>
    <t>Verified / compliant values</t>
  </si>
  <si>
    <t>Red/Orange fill</t>
  </si>
  <si>
    <t>Discrepancies or excess claimed</t>
  </si>
  <si>
    <t>Yellow fill</t>
  </si>
  <si>
    <t>Input cells to update for new period</t>
  </si>
  <si>
    <t>Light blue fill</t>
  </si>
  <si>
    <t>Reference / informational rows</t>
  </si>
  <si>
    <t>ENERGY PURCHASE AGREEMENT – KEY CLAUSES DRIVING TAX OBLIGATIONS
AWPPL (EPA: 11-Nov-2019) &amp; CEPL | Extracted from invoices &amp; working files</t>
  </si>
  <si>
    <t>Clauses below are extracted verbatim from EPA references cited in invoices and verified working files. Each clause maps to a specific tax head and formula.</t>
  </si>
  <si>
    <t>EPA Section</t>
  </si>
  <si>
    <t>Clause / Provision</t>
  </si>
  <si>
    <t>Tax Head Triggered</t>
  </si>
  <si>
    <t>Formula / Rate</t>
  </si>
  <si>
    <t>AWPPL Application</t>
  </si>
  <si>
    <t>CEPL Application</t>
  </si>
  <si>
    <t>Source</t>
  </si>
  <si>
    <t>Art. IX / Sec 9.1(a)</t>
  </si>
  <si>
    <t>Purchaser shall pay monthly in arrears the Energy Payment for Net Delivered Energy (NDE) at the Reference Tariff.</t>
  </si>
  <si>
    <t>GST @ 18%</t>
  </si>
  <si>
    <t>GST = NDE × Tariff Rate × 18%</t>
  </si>
  <si>
    <t>NDE=9,533,490 kWh × Rs.13.3959 = Rs.127,709,679 → GST=Rs.22,987,742</t>
  </si>
  <si>
    <t>NDE=14,889,280 kWh × Rs.47.6652 = Rs.709,700,509 → GST=Rs.127,746,092</t>
  </si>
  <si>
    <t>Invoice AWPPL-AY5-TY26-INV-2026-03 / CEPL/GST/2026/03/135</t>
  </si>
  <si>
    <t>Art. IX / Sec 9.1(b)</t>
  </si>
  <si>
    <t>Non-Project Missed Volume (NPMV) paid at same rate as NDE – no GST on NPMV portion.</t>
  </si>
  <si>
    <t>GST – Exempt on NPMV</t>
  </si>
  <si>
    <t>GST on NPMV = Rs.0 (exempt per Sales Tax Act, 8th Sch.)</t>
  </si>
  <si>
    <t>NPMV=532,915 kWh → Amount=Rs.7,138,876 → GST=NIL</t>
  </si>
  <si>
    <t>NPMV(Claimed)=221,906 kWh → Rs.10,577,186 → GST=NIL</t>
  </si>
  <si>
    <t>Invoice line (b) / CEPL Invoice line 2</t>
  </si>
  <si>
    <t>EPA Sec. 9.5(a)(i)</t>
  </si>
  <si>
    <t>Payment due within 30 calendar days of invoice date. Late payment attracts default surcharge.</t>
  </si>
  <si>
    <t>Default Surcharge / Penalty</t>
  </si>
  <si>
    <t>Surcharge = Outstanding × KIBOR+2% × Days/365</t>
  </si>
  <si>
    <t>Invoice Date: Apr 1 2026 → Due: Apr 30 2026 (30 days)</t>
  </si>
  <si>
    <t>Invoice Date: Mar 31 2026 → Due: Apr 30 2026</t>
  </si>
  <si>
    <t>Input Sheet – Default Due Date</t>
  </si>
  <si>
    <t>Sch. 1 Sec. 4.1</t>
  </si>
  <si>
    <t>Reference Tariff comprises: O&amp;M Local, O&amp;M Foreign, RoE, RoE DC, Principal (Foreign/Local), Interest (Foreign/Local).</t>
  </si>
  <si>
    <t>GST / WHT / Income Tax</t>
  </si>
  <si>
    <t>Sum of all tariff components = Rs./kWh rate</t>
  </si>
  <si>
    <t>AWPPL total Rs.13.3959/kWh = 8 components</t>
  </si>
  <si>
    <t>CEPL total Rs.47.6652/kWh = 6 components</t>
  </si>
  <si>
    <t>Invoice Working / EPP Sheet</t>
  </si>
  <si>
    <t>SRO 586(I)/91 – Jun 30 1991</t>
  </si>
  <si>
    <t>Income tax withholding EXEMPTED for IPP electricity supply to CPPA-G. Payments not subject to source deduction.</t>
  </si>
  <si>
    <t>Income Tax Withholding</t>
  </si>
  <si>
    <t>WHT on Income = Nil (SRO exemption)</t>
  </si>
  <si>
    <t>Stated on invoice face – WHT exempt</t>
  </si>
  <si>
    <t>Applicable equally (same SRO)</t>
  </si>
  <si>
    <t>Invoice Note (3)</t>
  </si>
  <si>
    <t>Rule 5 – ST (WHT) Rules 2007</t>
  </si>
  <si>
    <t>Sales Tax Withholding EXEMPTED for registered IPPs supplying electricity under EPA. No WHT by purchaser.</t>
  </si>
  <si>
    <t>GST Withholding</t>
  </si>
  <si>
    <t>GST WHT = Nil (Rule 5 exemption)</t>
  </si>
  <si>
    <t>Invoice Note (4) – zero WHT; FBR return row 16=0</t>
  </si>
  <si>
    <t>Same rule applies</t>
  </si>
  <si>
    <t>Invoice Note (4); FBR Return Row 100210=0</t>
  </si>
  <si>
    <t>Sales Tax Act 1990 – Sec 3(1)</t>
  </si>
  <si>
    <t>GST levied at 18% on taxable supply of electricity (HS 2716). Supplier to charge, collect and deposit.</t>
  </si>
  <si>
    <t>GST – Output Tax</t>
  </si>
  <si>
    <t>Output Tax = Taxable Base × 18%</t>
  </si>
  <si>
    <t>GST charged = Rs.22,987,742 on NDE base</t>
  </si>
  <si>
    <t>GST charged = Rs.127,746,092 on NDE base</t>
  </si>
  <si>
    <t>Sales Tax Act 1990 s.3(1); HS Code 2716.0000</t>
  </si>
  <si>
    <t>Sales Tax Act 1990 – Sec 7</t>
  </si>
  <si>
    <t>Registered person may deduct input tax paid on purchases from output tax. Net payable = Output – Input.</t>
  </si>
  <si>
    <t>GST Net Payable (ITC)</t>
  </si>
  <si>
    <t>Net GST = Output Tax − Input Tax Credit</t>
  </si>
  <si>
    <t>Output=Rs.7,380,710; Input=Rs.4,797,262; Net=Rs.2,583,448</t>
  </si>
  <si>
    <t>Separate return data not provided in uploads</t>
  </si>
  <si>
    <t>FBR Return – AWPPL Mar-2026 (Rows 100201, 100108)</t>
  </si>
  <si>
    <t>NEPRA Tariff Determination</t>
  </si>
  <si>
    <t>Tariff set by NEPRA; any deviation from approved rate subject to adjustment/refund. Rate verified against SRO.</t>
  </si>
  <si>
    <t>GST Base Accuracy</t>
  </si>
  <si>
    <t>If Claimed Rate ≠ NEPRA Rate → Difference = overcharge</t>
  </si>
  <si>
    <t>AWPPL: Claimed 13.3959 vs Verified 13.3958 → Diff=0.0001 Rs./kWh</t>
  </si>
  <si>
    <t>CEPL: Claimed=Verified=47.6652 → Diff=NIL</t>
  </si>
  <si>
    <t>Invoice Working Sheet / NEPRA SRO 135(I)/2026</t>
  </si>
  <si>
    <t>EPA Art. IX – Agreement Year (AY)</t>
  </si>
  <si>
    <t>Annual Energy (AE) ceiling = AY Benchmark. ME within AY benchmark qualifies for full tariff.</t>
  </si>
  <si>
    <t>GST / Energy Calculation</t>
  </si>
  <si>
    <t>IF Monthly Energy ≤ AE THEN Full Rate; ELSE Review</t>
  </si>
  <si>
    <t>AY5 Benchmark=166,440,000 kWh; AY ME=14,513,341 kWh → Within limit</t>
  </si>
  <si>
    <t>AY10 Benchmark=153,300,000 kWh; AY ME=107,906,011 kWh → Within limit</t>
  </si>
  <si>
    <t>Summary Sheet – both workbooks</t>
  </si>
  <si>
    <t>Custom Duty – Imports</t>
  </si>
  <si>
    <t>O&amp;M Foreign component covers imported spare parts. Custom duty applicable per FBR schedule unless SRO exempt.</t>
  </si>
  <si>
    <t>Custom Duty</t>
  </si>
  <si>
    <t>CD = Import Value × CD Rate (varies per HS code)</t>
  </si>
  <si>
    <t>Embedded in O&amp;M Foreign rate Rs.1.2460/kWh</t>
  </si>
  <si>
    <t>Embedded in O&amp;M Foreign rate Rs.7.7592/kWh</t>
  </si>
  <si>
    <t>Sch. 1 Sec. 4.1 – O&amp;M Foreign</t>
  </si>
  <si>
    <t>Federal Excise Duty – Sec 3 FED Act</t>
  </si>
  <si>
    <t>FED on electricity NIL per current tariff schedule. Annex-E of FBR return confirms zero FED.</t>
  </si>
  <si>
    <t>Federal Excise Duty (FED)</t>
  </si>
  <si>
    <t>FED Payable = Nil (electricity exempt)</t>
  </si>
  <si>
    <t>FBR Return Annex-E: Row 200407 = 0</t>
  </si>
  <si>
    <t>Same exemption applies</t>
  </si>
  <si>
    <t>FBR Return AWPPL Mar-2026 Annex-E</t>
  </si>
  <si>
    <t>Income Tax Ord 2001 – Sec 153</t>
  </si>
  <si>
    <t>WHT on services/goods. IPP payments exempt per SRO 586. However, O&amp;M service providers subject to normal WHT.</t>
  </si>
  <si>
    <t>Income Tax – Sec 153</t>
  </si>
  <si>
    <t>WHT on O&amp;M Local services = 7% or as per applicable rate</t>
  </si>
  <si>
    <t>O&amp;M Local Rs.1.0434/kWh embeds WHT obligation on sub-contractors</t>
  </si>
  <si>
    <t>O&amp;M Local Rs.0.9944/kWh</t>
  </si>
  <si>
    <t>Income Tax Ordinance 2001 s.153</t>
  </si>
  <si>
    <t>PAKISTAN TAX LAW REGISTER – IPP ELECTRICITY SECTOR
All Tax Heads: GST · Income Tax · FED · Custom Duty · WHT · Surcharge</t>
  </si>
  <si>
    <t>Sources: Sales Tax Act 1990 (updated to 2025-26), STR 2006 (updated to Aug-2025), Income Tax Ordinance 2001</t>
  </si>
  <si>
    <t>Tax Head</t>
  </si>
  <si>
    <t>Statute</t>
  </si>
  <si>
    <t>Section</t>
  </si>
  <si>
    <t>Rate</t>
  </si>
  <si>
    <t>Basis</t>
  </si>
  <si>
    <t>Exemption / SRO</t>
  </si>
  <si>
    <t>IPP Applicable?</t>
  </si>
  <si>
    <t>Formula</t>
  </si>
  <si>
    <t>GST – Standard</t>
  </si>
  <si>
    <t>Sales Tax Act 1990</t>
  </si>
  <si>
    <t>Sec 3(1)</t>
  </si>
  <si>
    <t>18%</t>
  </si>
  <si>
    <t>Value of taxable supply (excl. GST)</t>
  </si>
  <si>
    <t>None on electricity NDE</t>
  </si>
  <si>
    <t>YES – NDE only</t>
  </si>
  <si>
    <t>GST = Taxable_Base x GST_Rate</t>
  </si>
  <si>
    <t>GST – NPMV</t>
  </si>
  <si>
    <t>8th Schedule / Sec 3(1)</t>
  </si>
  <si>
    <t>0%</t>
  </si>
  <si>
    <t>Non-Project Missed Volume</t>
  </si>
  <si>
    <t>NPMV exempt from GST</t>
  </si>
  <si>
    <t>YES – NIL GST</t>
  </si>
  <si>
    <t>GST_NPMV = NPMV_Amount x 0%</t>
  </si>
  <si>
    <t>GST – WHT at Source</t>
  </si>
  <si>
    <t>ST(WHT) Rules 2007</t>
  </si>
  <si>
    <t>Rule 5</t>
  </si>
  <si>
    <t>GST billed by registered IPP</t>
  </si>
  <si>
    <t>Exempt per Rule 5 for IPP suppliers</t>
  </si>
  <si>
    <t>EXEMPT</t>
  </si>
  <si>
    <t>WHT_GST = 0</t>
  </si>
  <si>
    <t>GST – Input Tax Credit</t>
  </si>
  <si>
    <t>Sec 7</t>
  </si>
  <si>
    <t>Variable</t>
  </si>
  <si>
    <t>GST paid on eligible purchases</t>
  </si>
  <si>
    <t>Non-creditable inputs per Sec 8</t>
  </si>
  <si>
    <t>YES – on domestic purchases</t>
  </si>
  <si>
    <t>Net = Output − Input_Tax_Credit</t>
  </si>
  <si>
    <t>GST – Further Tax</t>
  </si>
  <si>
    <t>Sec 3(1A)</t>
  </si>
  <si>
    <t>3%</t>
  </si>
  <si>
    <t>Supply to unregistered person</t>
  </si>
  <si>
    <t>Not applicable (CPPA-G registered)</t>
  </si>
  <si>
    <t>NOT APPLICABLE</t>
  </si>
  <si>
    <t>Further_Tax = 0 (buyer registered)</t>
  </si>
  <si>
    <t>Income Tax – WHT Services</t>
  </si>
  <si>
    <t>ITO 2001</t>
  </si>
  <si>
    <t>Sec 153(1)(b)</t>
  </si>
  <si>
    <t>7%</t>
  </si>
  <si>
    <t>Gross payment for services</t>
  </si>
  <si>
    <t>SRO 586(I)/91 exempts IPP payments</t>
  </si>
  <si>
    <t>EXEMPT – SRO 586</t>
  </si>
  <si>
    <t>WHT_IT = 0 (SRO exempt)</t>
  </si>
  <si>
    <t>Income Tax – WHT Goods</t>
  </si>
  <si>
    <t>Sec 153(1)(a)</t>
  </si>
  <si>
    <t>4.5%</t>
  </si>
  <si>
    <t>Payments for goods supplied</t>
  </si>
  <si>
    <t>SRO 586(I)/91 – same exemption</t>
  </si>
  <si>
    <t>WHT_Goods = 0</t>
  </si>
  <si>
    <t>Income Tax – Advance Tax</t>
  </si>
  <si>
    <t>Sec 147</t>
  </si>
  <si>
    <t>Quarterly</t>
  </si>
  <si>
    <t>Estimated annual tax liability</t>
  </si>
  <si>
    <t>Payments from CPPA exempt</t>
  </si>
  <si>
    <t>IPP self-computes annual tax</t>
  </si>
  <si>
    <t>AT = Estimated_Tax / 4</t>
  </si>
  <si>
    <t>Federal Excise Duty</t>
  </si>
  <si>
    <t>FED Act 2005</t>
  </si>
  <si>
    <t>Sec 3 / Table-I</t>
  </si>
  <si>
    <t>Electricity – HS 2716</t>
  </si>
  <si>
    <t>Electricity exempt from FED</t>
  </si>
  <si>
    <t>EXEMPT – Annex E = 0</t>
  </si>
  <si>
    <t>FED = 0</t>
  </si>
  <si>
    <t>Custom Duty – O&amp;M Imports</t>
  </si>
  <si>
    <t>Customs Act 1969</t>
  </si>
  <si>
    <t>Fifth Schedule</t>
  </si>
  <si>
    <t>Varies</t>
  </si>
  <si>
    <t>CIF value of imported O&amp;M goods</t>
  </si>
  <si>
    <t>SRO 678 – IPP machinery concessions</t>
  </si>
  <si>
    <t>Embedded in tariff O&amp;M Foreign</t>
  </si>
  <si>
    <t>CD = CIF × Rate (per HS code)</t>
  </si>
  <si>
    <t>Custom Duty – Capital Goods</t>
  </si>
  <si>
    <t>SRO 678(I)/2004</t>
  </si>
  <si>
    <t>0-5%</t>
  </si>
  <si>
    <t>Import of power plant equipment</t>
  </si>
  <si>
    <t>Concessionary CD for IPPs</t>
  </si>
  <si>
    <t>During construction only</t>
  </si>
  <si>
    <t>CD_Concess = CIF × Concess_Rate</t>
  </si>
  <si>
    <t>Default Surcharge – ST</t>
  </si>
  <si>
    <t>Sec 34</t>
  </si>
  <si>
    <t>KIBOR+3%</t>
  </si>
  <si>
    <t>On unpaid GST beyond due date</t>
  </si>
  <si>
    <t>None</t>
  </si>
  <si>
    <t>YES – if payment delayed</t>
  </si>
  <si>
    <t>DS = Unpaid_Tax × (KIBOR+3%) × Days/365</t>
  </si>
  <si>
    <t>Penalty – Late Filing</t>
  </si>
  <si>
    <t>Sec 33</t>
  </si>
  <si>
    <t>Rs.10,000+</t>
  </si>
  <si>
    <t>Per return filing</t>
  </si>
  <si>
    <t>YES</t>
  </si>
  <si>
    <t>Penalty = Max(10000, 5%×Tax_Unpaid)</t>
  </si>
  <si>
    <t>Minimum Tax</t>
  </si>
  <si>
    <t>Sec 113</t>
  </si>
  <si>
    <t>1.25%</t>
  </si>
  <si>
    <t>Turnover</t>
  </si>
  <si>
    <t>If tax&lt;min tax</t>
  </si>
  <si>
    <t>Min_Tax = Revenue × 1.25%</t>
  </si>
  <si>
    <t>Super Tax</t>
  </si>
  <si>
    <t>Sec 4C</t>
  </si>
  <si>
    <t>10%</t>
  </si>
  <si>
    <t>Income &gt;150M</t>
  </si>
  <si>
    <t>Not applicable if loss</t>
  </si>
  <si>
    <t>YES if profit &gt; 150M</t>
  </si>
  <si>
    <t>Super_Tax = IF(Income&gt;150M, Income×10%, 0)</t>
  </si>
  <si>
    <t>Advance Tax on Electricity</t>
  </si>
  <si>
    <t>Sec 3(9)</t>
  </si>
  <si>
    <t>Electricity supplied to retailers</t>
  </si>
  <si>
    <t>Not applicable (CPPA-G not retailer)</t>
  </si>
  <si>
    <t>AT_Elect = 0</t>
  </si>
  <si>
    <t>Petroleum Levy</t>
  </si>
  <si>
    <t>Petroleum Products (Dev.Levy) Ord</t>
  </si>
  <si>
    <t>All</t>
  </si>
  <si>
    <t>0</t>
  </si>
  <si>
    <t>N/A for wind</t>
  </si>
  <si>
    <t>Wind energy exempt</t>
  </si>
  <si>
    <t>PL = 0</t>
  </si>
  <si>
    <t>Climate Support Levy</t>
  </si>
  <si>
    <t>Finance Act 2022</t>
  </si>
  <si>
    <t>Sec 8(A)</t>
  </si>
  <si>
    <t>On specific goods</t>
  </si>
  <si>
    <t>Not applicable to electricity</t>
  </si>
  <si>
    <t>CSL = 0</t>
  </si>
  <si>
    <t>COMPLETE TAX COMPUTATION MODEL
ARTISTIC WIND POWER (PVT.) LTD. | MARCH 2026</t>
  </si>
  <si>
    <t>Invoice: AWPPL-AY5-TY26-INV-2026-03 | NTN: 7160453-8 | GST: 3277876165873 | Agreement Year 5 | NEPRA TRF-419</t>
  </si>
  <si>
    <t>PART A – ENERGY INPUTS &amp; TARIFF PARAMETERS</t>
  </si>
  <si>
    <t>Parameter</t>
  </si>
  <si>
    <t>Claimed (IPP)</t>
  </si>
  <si>
    <t>Verified (CPPA)</t>
  </si>
  <si>
    <t>Difference</t>
  </si>
  <si>
    <t>EPA Reference</t>
  </si>
  <si>
    <t>Statutory Reference</t>
  </si>
  <si>
    <t>Status</t>
  </si>
  <si>
    <t>Notes</t>
  </si>
  <si>
    <t>NDE – Net Delivered Energy (kWh)</t>
  </si>
  <si>
    <t>EPA 3.1A Annex A</t>
  </si>
  <si>
    <t>STA 1990 s.3(1)</t>
  </si>
  <si>
    <t>HS Code 2716.0000</t>
  </si>
  <si>
    <t>NPMV – Non-Project Missed Volume (kWh)</t>
  </si>
  <si>
    <t>8th Schedule</t>
  </si>
  <si>
    <t>Verified 182 kWh less</t>
  </si>
  <si>
    <t>Energy Rate – NDE (Rs./kWh)</t>
  </si>
  <si>
    <t>EPA Sch.1 Sec.4.1</t>
  </si>
  <si>
    <t>NEPRA TRF-419</t>
  </si>
  <si>
    <t>0.0001 rate diff</t>
  </si>
  <si>
    <t>NDE Energy Amount (Rs.)</t>
  </si>
  <si>
    <t>EPA 9.1(a)</t>
  </si>
  <si>
    <t>STA s.3(1)</t>
  </si>
  <si>
    <t>B9=B6*B8</t>
  </si>
  <si>
    <t>NPMV Energy Amount (Rs.)</t>
  </si>
  <si>
    <t>EPA 9.1(b)</t>
  </si>
  <si>
    <t>8th Sch - NIL GST</t>
  </si>
  <si>
    <t>B10=B7*B8</t>
  </si>
  <si>
    <t>Total Energy (excl. GST) (Rs.)</t>
  </si>
  <si>
    <t>EPA 9.1</t>
  </si>
  <si>
    <t>STA s.3</t>
  </si>
  <si>
    <t>PART B – GST COMPUTATION (Sales Tax Act 1990, Sec 3(1))</t>
  </si>
  <si>
    <t>Line</t>
  </si>
  <si>
    <t>Claimed (Rs.)</t>
  </si>
  <si>
    <t>Verified (Rs.)</t>
  </si>
  <si>
    <t>Audit Note</t>
  </si>
  <si>
    <t>B1</t>
  </si>
  <si>
    <t>GST Base (NDE Amount only)</t>
  </si>
  <si>
    <t>NPMV excluded from GST base per 8th Sch.</t>
  </si>
  <si>
    <t>B2</t>
  </si>
  <si>
    <t>GST Amount @ 18%</t>
  </si>
  <si>
    <t>Diff=171 – rounding in IPP calc</t>
  </si>
  <si>
    <t>B3</t>
  </si>
  <si>
    <t>GST Withheld at Source</t>
  </si>
  <si>
    <t>WHT Rule 5</t>
  </si>
  <si>
    <t>Exempt per Rule 5 (Rule 5 WHT Rules 2007)</t>
  </si>
  <si>
    <t>B4</t>
  </si>
  <si>
    <t>Input Tax Credit (ITC)</t>
  </si>
  <si>
    <t>STA s.7</t>
  </si>
  <si>
    <t>From FBR return Row 100108</t>
  </si>
  <si>
    <t>B5</t>
  </si>
  <si>
    <t>Net GST Payable (Output-ITC)</t>
  </si>
  <si>
    <t>From FBR return: Output 7,380,710 - ITC 4,797,262</t>
  </si>
  <si>
    <t>B6</t>
  </si>
  <si>
    <t>Total Invoice incl. GST</t>
  </si>
  <si>
    <t>Rounding diff in IPP calc</t>
  </si>
  <si>
    <t>PART C – ALL TAX HEADS: INCOME TAX · FED · CUSTOM DUTY · SURCHARGE</t>
  </si>
  <si>
    <t>Base</t>
  </si>
  <si>
    <t>Calculated Tax</t>
  </si>
  <si>
    <t>Applicable?</t>
  </si>
  <si>
    <t>Basis Note</t>
  </si>
  <si>
    <t>Income Tax WHT (Services)</t>
  </si>
  <si>
    <t>SRO 586(I)/91 – IPP exempt</t>
  </si>
  <si>
    <t>Income Tax WHT (Goods)</t>
  </si>
  <si>
    <t>Income Tax (Sec 113 Minimum)</t>
  </si>
  <si>
    <t>Annual Revenue</t>
  </si>
  <si>
    <t>COMPUTE</t>
  </si>
  <si>
    <t>Min Tax = Revenue × 1.25%</t>
  </si>
  <si>
    <t>Super Tax (&gt;Rs.150M income)</t>
  </si>
  <si>
    <t>Taxable Income</t>
  </si>
  <si>
    <t>N/A</t>
  </si>
  <si>
    <t>COMPUTE IF &gt;150M</t>
  </si>
  <si>
    <t>Check annual taxable income</t>
  </si>
  <si>
    <t>FBR Return Annex-E = 0</t>
  </si>
  <si>
    <t>5th Schedule</t>
  </si>
  <si>
    <t>CIF Import Value</t>
  </si>
  <si>
    <t>Embedded in tariff</t>
  </si>
  <si>
    <t>EMBEDDED</t>
  </si>
  <si>
    <t>In O&amp;M Foreign Rs.1.246/kWh</t>
  </si>
  <si>
    <t>Default Surcharge (if late)</t>
  </si>
  <si>
    <t>Unpaid Tax × Days/365</t>
  </si>
  <si>
    <t>NIL – paid on time</t>
  </si>
  <si>
    <t>CPR Date: 10-Apr-2026</t>
  </si>
  <si>
    <t>Rs.10,000</t>
  </si>
  <si>
    <t>Per return</t>
  </si>
  <si>
    <t>NIL – filed 22-Apr-2026</t>
  </si>
  <si>
    <t>Due 25-Apr-2026</t>
  </si>
  <si>
    <t>PDL Ordinance</t>
  </si>
  <si>
    <t>-</t>
  </si>
  <si>
    <t>N/A (wind)</t>
  </si>
  <si>
    <t>Not applicable – wind energy</t>
  </si>
  <si>
    <t>Not applicable</t>
  </si>
  <si>
    <t>Further Tax (Unreg. buyer)</t>
  </si>
  <si>
    <t>CPPA-G is registered</t>
  </si>
  <si>
    <t>NIL</t>
  </si>
  <si>
    <t>Buyer is registered – no further tax</t>
  </si>
  <si>
    <t>PART D – COMPONENT-WISE TARIFF VERIFICATION (AWPPL)</t>
  </si>
  <si>
    <t>Component</t>
  </si>
  <si>
    <t>EPA Ref</t>
  </si>
  <si>
    <t>Claimed Rate</t>
  </si>
  <si>
    <t>Verified Rate</t>
  </si>
  <si>
    <t>Rate Diff</t>
  </si>
  <si>
    <t>Claimed Amt (Rs.)</t>
  </si>
  <si>
    <t>Verified Amt (Rs.)</t>
  </si>
  <si>
    <t>Diff (Rs.)</t>
  </si>
  <si>
    <t>O&amp;M Local</t>
  </si>
  <si>
    <t>Sch.1 Sec.4.1</t>
  </si>
  <si>
    <t>O&amp;M Foreign</t>
  </si>
  <si>
    <t>Return on Equity</t>
  </si>
  <si>
    <t>RoE DC</t>
  </si>
  <si>
    <t>Principal Foreign</t>
  </si>
  <si>
    <t>Interest Foreign</t>
  </si>
  <si>
    <t>Principal Local</t>
  </si>
  <si>
    <t>Interest Local</t>
  </si>
  <si>
    <t>TOTAL</t>
  </si>
  <si>
    <t>COMPLETE TAX COMPUTATION MODEL
CREST ENERGY PAKISTAN LTD. | MARCH 2026</t>
  </si>
  <si>
    <t>Invoice: CEPL/GST/2026/03/135 | NTN: 4344740-6 | STRN: 0300434474019 | Agreement Year 10 | NEPRA SRO 144</t>
  </si>
  <si>
    <t>PART A – ENERGY INPUTS &amp; TARIFF (CEPL)</t>
  </si>
  <si>
    <t>Claimed</t>
  </si>
  <si>
    <t>Verified</t>
  </si>
  <si>
    <t>NDE (kWh)</t>
  </si>
  <si>
    <t>EPA 3.1A</t>
  </si>
  <si>
    <t>AY10 – Block I only</t>
  </si>
  <si>
    <t>NPMV (kWh)</t>
  </si>
  <si>
    <t>Verified 35,921 kWh less</t>
  </si>
  <si>
    <t>Energy Rate (Rs./kWh)</t>
  </si>
  <si>
    <t>EPA Sch.1</t>
  </si>
  <si>
    <t>NEPRA TRF</t>
  </si>
  <si>
    <t>Rates match perfectly</t>
  </si>
  <si>
    <t>NDE Amount (Rs.)</t>
  </si>
  <si>
    <t>Diff = B9 - C9 (NDE amount difference)</t>
  </si>
  <si>
    <t>NPMV Amount (Rs.)</t>
  </si>
  <si>
    <t>8th Sch NIL GST</t>
  </si>
  <si>
    <t>Diff=Rs.1,712,154 – NPMV volume diff</t>
  </si>
  <si>
    <t>Total Energy excl.GST</t>
  </si>
  <si>
    <t>PART B – GST COMPUTATION (CEPL)</t>
  </si>
  <si>
    <t>GST Base (NDE only, Rs.)</t>
  </si>
  <si>
    <t>✅ MATCH</t>
  </si>
  <si>
    <t>NDE amounts match; GST on NDE only</t>
  </si>
  <si>
    <t>GST @ 18% on NDE</t>
  </si>
  <si>
    <t>127,746,092 = 709,700,509 × 18%</t>
  </si>
  <si>
    <t>GST on NPMV</t>
  </si>
  <si>
    <t>✅ EXEMPT</t>
  </si>
  <si>
    <t>WHT at Source</t>
  </si>
  <si>
    <t>Rule 5 WHT Rules 2007</t>
  </si>
  <si>
    <t>TOTAL INVOICE incl. GST</t>
  </si>
  <si>
    <t>⚠ DIFF</t>
  </si>
  <si>
    <t>NPMV volume diff causes Rs.558,154 variance</t>
  </si>
  <si>
    <t>PART C – CEPL TARIFF BREAKDOWN</t>
  </si>
  <si>
    <t>NEPRA Rate</t>
  </si>
  <si>
    <t>Claimed Amount</t>
  </si>
  <si>
    <t>Verified Amount</t>
  </si>
  <si>
    <t>Diff</t>
  </si>
  <si>
    <t>Principal Repay</t>
  </si>
  <si>
    <t>Interest</t>
  </si>
  <si>
    <t>Sinosure</t>
  </si>
  <si>
    <t>COMPREHENSIVE INVOICE AUDIT
AWPPL &amp; CEPL | March 2026 | Claimed vs Verified vs Statutory</t>
  </si>
  <si>
    <t>All amounts in PKR | Sources: IPP Invoices, CPPA-G Verified Workbooks, FBR GST Return, NEPRA Tariff SROs</t>
  </si>
  <si>
    <t>AWPPL – ARTISTIC WIND POWER (PVT.) LTD.</t>
  </si>
  <si>
    <t>Line Item</t>
  </si>
  <si>
    <t>AWPPL Claimed</t>
  </si>
  <si>
    <t>AWPPL Verified</t>
  </si>
  <si>
    <t>AWPPL Diff</t>
  </si>
  <si>
    <t>Diff %</t>
  </si>
  <si>
    <t>CEPL Claimed</t>
  </si>
  <si>
    <t>CEPL Verified</t>
  </si>
  <si>
    <t>CEPL Diff</t>
  </si>
  <si>
    <t>CEPL Diff %</t>
  </si>
  <si>
    <t>Audit Flag</t>
  </si>
  <si>
    <t>NDE Volume (kWh)</t>
  </si>
  <si>
    <t>✅</t>
  </si>
  <si>
    <t>NPMV Volume (kWh)</t>
  </si>
  <si>
    <t>⚠ NPMV diff</t>
  </si>
  <si>
    <t>⚠ rate diff AWPPL</t>
  </si>
  <si>
    <t>⚠ minor diff AWPPL</t>
  </si>
  <si>
    <t>⚠ CEPL NPMV overstate</t>
  </si>
  <si>
    <t>Total Excl. GST (Rs.)</t>
  </si>
  <si>
    <t>⚠ CEPL diff significant</t>
  </si>
  <si>
    <t>GST Base (Rs.)</t>
  </si>
  <si>
    <t>✅ GST base OK</t>
  </si>
  <si>
    <t>GST @ 18% (Rs.)</t>
  </si>
  <si>
    <t>⚠ AWPPL 171 rounding</t>
  </si>
  <si>
    <t>Total Invoice (Rs.)</t>
  </si>
  <si>
    <t>⚠ CEPL overcharged 558K</t>
  </si>
  <si>
    <t>✅ both exempt</t>
  </si>
  <si>
    <t>ITC (Input Tax)</t>
  </si>
  <si>
    <t>✅ AWPPL only</t>
  </si>
  <si>
    <t>Net GST Payable</t>
  </si>
  <si>
    <t>✅ AWPPL paid to FBR</t>
  </si>
  <si>
    <t>FBR SALES TAX RETURN RECONCILIATION
AWPPL | March 2026 | Return vs Invoice vs Ledger</t>
  </si>
  <si>
    <t>FBR Return Filed: 22-Apr-2026 | Due: 25-Apr-2026 | CPR: ST202604100101126479 | Paid: 10-Apr-2026</t>
  </si>
  <si>
    <t>SECTION 1 – SALES TAX CREDIT (INPUT TAX)</t>
  </si>
  <si>
    <t>FBR Code</t>
  </si>
  <si>
    <t>Gross Value (Rs.)</t>
  </si>
  <si>
    <t>Taxable Value (Rs.)</t>
  </si>
  <si>
    <t>Sales Tax (Rs.)</t>
  </si>
  <si>
    <t>100101</t>
  </si>
  <si>
    <t>Domestic purchases – registered persons</t>
  </si>
  <si>
    <t>Annex-A purchases</t>
  </si>
  <si>
    <t>FBR Return p.4</t>
  </si>
  <si>
    <t>100102</t>
  </si>
  <si>
    <t>Domestic purchases – unregistered</t>
  </si>
  <si>
    <t>Annex-A</t>
  </si>
  <si>
    <t>Nil</t>
  </si>
  <si>
    <t>100103</t>
  </si>
  <si>
    <t>Imports excl. fixed assets</t>
  </si>
  <si>
    <t>Annex-B</t>
  </si>
  <si>
    <t>100104</t>
  </si>
  <si>
    <t>Capital goods / fixed assets</t>
  </si>
  <si>
    <t>Annex-A/B</t>
  </si>
  <si>
    <t>100105</t>
  </si>
  <si>
    <t>Input for month (1+3+4)</t>
  </si>
  <si>
    <t>Computed</t>
  </si>
  <si>
    <t>Nil c/f</t>
  </si>
  <si>
    <t>100106</t>
  </si>
  <si>
    <t>Credit b/f from previous period</t>
  </si>
  <si>
    <t>Previous return</t>
  </si>
  <si>
    <t>100108</t>
  </si>
  <si>
    <t>Accumulated Credit (row 8)</t>
  </si>
  <si>
    <t>Opening ITC balance: Rs.483,030,387</t>
  </si>
  <si>
    <t>SECTION 2 – SALES TAX DEBIT (OUTPUT TAX)</t>
  </si>
  <si>
    <t>Invoice Ref</t>
  </si>
  <si>
    <t>Variance</t>
  </si>
  <si>
    <t>100201</t>
  </si>
  <si>
    <t>Total goods/services supplied locally</t>
  </si>
  <si>
    <t>Annex-C AWPPL Mar-26</t>
  </si>
  <si>
    <t>Invoice: Rs.22,987,742 (only NDE portion differs – GST return uses different base)</t>
  </si>
  <si>
    <t>100202</t>
  </si>
  <si>
    <t>Reduced rate sales</t>
  </si>
  <si>
    <t>100210</t>
  </si>
  <si>
    <t>ST deducted by WHT agents</t>
  </si>
  <si>
    <t>Zero per SRO Rule 5 exemption</t>
  </si>
  <si>
    <t>100211</t>
  </si>
  <si>
    <t>Accumulated Debit (15-16)</t>
  </si>
  <si>
    <t>Net output tax</t>
  </si>
  <si>
    <t>100213</t>
  </si>
  <si>
    <t>ST withheld as WHT agent</t>
  </si>
  <si>
    <t>AWPPL not a WHT agent</t>
  </si>
  <si>
    <t>SECTION 3 – NET PAYABLE COMPUTATION</t>
  </si>
  <si>
    <t>Code</t>
  </si>
  <si>
    <t>Amount (Rs.)</t>
  </si>
  <si>
    <t>CPR Reference</t>
  </si>
  <si>
    <t>100302</t>
  </si>
  <si>
    <t>Admissible Input Tax Credit</t>
  </si>
  <si>
    <t>Row 100108</t>
  </si>
  <si>
    <t>FBR Return</t>
  </si>
  <si>
    <t>ITC applied</t>
  </si>
  <si>
    <t>100205</t>
  </si>
  <si>
    <t>Output Tax</t>
  </si>
  <si>
    <t>Row 100201-100210</t>
  </si>
  <si>
    <t>100401</t>
  </si>
  <si>
    <t>Sales Tax Payable (17-25)</t>
  </si>
  <si>
    <t>7,380,710 − 4,797,262</t>
  </si>
  <si>
    <t>100501</t>
  </si>
  <si>
    <t>B02341 – Sales Tax on Goods PAID</t>
  </si>
  <si>
    <t>CPR Receipt</t>
  </si>
  <si>
    <t>ST202604100101126479</t>
  </si>
  <si>
    <t>✅ PAID 10-Apr-2026</t>
  </si>
  <si>
    <t>100600</t>
  </si>
  <si>
    <t>Total Amount Payable</t>
  </si>
  <si>
    <t>SECTION 4 – CREDIT NOTES (ANNEX-I) – PRIOR PERIOD ADJUSTMENTS</t>
  </si>
  <si>
    <t>Credit Note Ref</t>
  </si>
  <si>
    <t>Date</t>
  </si>
  <si>
    <t>Type</t>
  </si>
  <si>
    <t>Value of Sales</t>
  </si>
  <si>
    <t>Sales Tax / FED</t>
  </si>
  <si>
    <t>Reason</t>
  </si>
  <si>
    <t>Original Invoice</t>
  </si>
  <si>
    <t>7160453DIZMJQHR220536-1</t>
  </si>
  <si>
    <t>31-Jan-2026</t>
  </si>
  <si>
    <t>Credit Note</t>
  </si>
  <si>
    <t>IRIS problem – cancellation</t>
  </si>
  <si>
    <t>32124336</t>
  </si>
  <si>
    <t>28-Feb-2026</t>
  </si>
  <si>
    <t>Change in value of supply</t>
  </si>
  <si>
    <t>32144084</t>
  </si>
  <si>
    <t>7160453DIABJKJD158450-1</t>
  </si>
  <si>
    <t>32486562</t>
  </si>
  <si>
    <t>DYNAMIC TAX SCENARIO ENGINE
All Tax Heads | Change Any Rate → All Taxes Recompute</t>
  </si>
  <si>
    <t>Yellow cells = inputs. Change GST rate, Income Tax rate, FED rate, Custom Duty, Surcharge → observe tax impact. Model uses AWPPL March 2026 as base.</t>
  </si>
  <si>
    <t>RATE INPUTS (change yellow cells)</t>
  </si>
  <si>
    <t>GST Rate</t>
  </si>
  <si>
    <t>Current Pakistan electricity rate</t>
  </si>
  <si>
    <t>Income Tax Rate (Sec153)</t>
  </si>
  <si>
    <t>WHT on services (0 if SRO586 exempt)</t>
  </si>
  <si>
    <t>FED Rate</t>
  </si>
  <si>
    <t>0% – electricity exempt</t>
  </si>
  <si>
    <t>Custom Duty Rate</t>
  </si>
  <si>
    <t>Applicable on O&amp;M imports</t>
  </si>
  <si>
    <t>Default Surcharge (KIBOR+3%)</t>
  </si>
  <si>
    <t>On unpaid tax per day/365</t>
  </si>
  <si>
    <t>3% on supply to unregistered (NIL here)</t>
  </si>
  <si>
    <t>Super Tax (&gt;150M)</t>
  </si>
  <si>
    <t>Annual computation if income &gt;150M</t>
  </si>
  <si>
    <t>Minimum Tax (Sec 113)</t>
  </si>
  <si>
    <t>1.25% of revenue – minimum floor</t>
  </si>
  <si>
    <t>COMPUTED TAX SCENARIOS (all linked to B5:B12 above)</t>
  </si>
  <si>
    <t>Base (Rs.)</t>
  </si>
  <si>
    <t>Tax Amount (Rs.)</t>
  </si>
  <si>
    <t>Exempt?</t>
  </si>
  <si>
    <t>After WHT</t>
  </si>
  <si>
    <t>ITC</t>
  </si>
  <si>
    <t>Net Payable</t>
  </si>
  <si>
    <t>Effective Rate</t>
  </si>
  <si>
    <t>AWPPL Status</t>
  </si>
  <si>
    <t>CEPL Status</t>
  </si>
  <si>
    <t>GST – NDE (AWPPL)</t>
  </si>
  <si>
    <t>No</t>
  </si>
  <si>
    <t>Charged @ 18%</t>
  </si>
  <si>
    <t>GST – NPMV (AWPPL)</t>
  </si>
  <si>
    <t>GST – NDE (CEPL)</t>
  </si>
  <si>
    <t>GST – NPMV (CEPL)</t>
  </si>
  <si>
    <t>Income Tax WHT (SRO586)</t>
  </si>
  <si>
    <t>EXEMPT per SRO</t>
  </si>
  <si>
    <t>FED on Electricity</t>
  </si>
  <si>
    <t>EXEMPT (Annex-E=0)</t>
  </si>
  <si>
    <t>Custom Duty (O&amp;M Imports)</t>
  </si>
  <si>
    <t>Default Surcharge (30 days)</t>
  </si>
  <si>
    <t>Nil – paid timely</t>
  </si>
  <si>
    <t>Further Tax (3% – unregistered)</t>
  </si>
  <si>
    <t>YES (buyer registered)</t>
  </si>
  <si>
    <t>Compute annual</t>
  </si>
  <si>
    <t>Super Tax (Sec 4C)</t>
  </si>
  <si>
    <t>N/A if &lt;150M net</t>
  </si>
  <si>
    <t>Annual – check</t>
  </si>
  <si>
    <t>CURSOR PROMPT – COMPREHENSIVE TAX MODEL
AI-Ready Prompt for Extension, Regeneration &amp; New IPPs</t>
  </si>
  <si>
    <t>CURSOR PROMPT: COMPREHENSIVE IPP TAX COMPLIANCE MODEL</t>
  </si>
  <si>
    <t>Pakistan Energy Sector | CPPA-G | Multi-Tax Head | AI-Powered</t>
  </si>
  <si>
    <t>SYSTEM CONTEXT:</t>
  </si>
  <si>
    <t>You are a senior tax model engineer specialising in Pakistan IPP sector.</t>
  </si>
  <si>
    <t>Deep knowledge of: STA 1990, ITO 2001, FED Act 2005, Customs Act 1969, NEPRA tariffs, EPA billing.</t>
  </si>
  <si>
    <t>DOCUMENT PARSING - When a new invoice/EPA/SRO is uploaded, extract:</t>
  </si>
  <si>
    <t xml:space="preserve">  Entity name, NTN, STRN, period, invoice number, reference EPA sections</t>
  </si>
  <si>
    <t xml:space="preserve">  energy: {nde_kwh, npmv_kwh, rate_rs_kwh}</t>
  </si>
  <si>
    <t xml:space="preserve">  amounts: {nde_amount, npmv_amount, total_excl_gst, gst_base, gst_amount, total_incl_gst}</t>
  </si>
  <si>
    <t xml:space="preserve">  tax: {gst_rate:0.18, wht_gst:0, wht_income_tax:0, fed:0, custom_duty:embedded, itc:N}</t>
  </si>
  <si>
    <t xml:space="preserve">  exemptions: [SRO 586(I)/91, Rule 5 WHT Rules 2007]</t>
  </si>
  <si>
    <t>TAX FORMULA GENERATION (all 8 tax heads):</t>
  </si>
  <si>
    <t>1. GST: output_tax = nde_amount x gst_rate | wht = 0 (Rule 5) | net = output - itc</t>
  </si>
  <si>
    <t>2. INCOME TAX WHT: 0 per SRO 586(I)/91 | Min Tax = revenue x 1.25% (s.113)</t>
  </si>
  <si>
    <t>3. SUPER TAX: IF income &gt; 150M THEN x 10% ELSE 0 (s.4C)</t>
  </si>
  <si>
    <t>4. FED: 0 - electricity exempt (FED Act Table-I; Annex-E = 0)</t>
  </si>
  <si>
    <t>5. CUSTOM DUTY: CIF x CD_Rate - embedded in O&amp;M Foreign tariff component</t>
  </si>
  <si>
    <t>6. DEFAULT SURCHARGE: Unpaid_Tax x (KIBOR+3%) x Days/365 (STA s.34)</t>
  </si>
  <si>
    <t>7. FURTHER TAX: 0 - CPPA-G is registered (STA s.3(1A))</t>
  </si>
  <si>
    <t>8. PENALTY: max(10000, 5% x unpaid) if late filing (STA s.33)</t>
  </si>
  <si>
    <t>ACCURACY CHECKS:</t>
  </si>
  <si>
    <t xml:space="preserve">  CHECK_1: nde_amount = nde_kwh x rate (tolerance +-Rs.1)</t>
  </si>
  <si>
    <t xml:space="preserve">  CHECK_2: gst_amount = gst_base x gst_rate (exact)</t>
  </si>
  <si>
    <t xml:space="preserve">  CHECK_3: total_invoice = total_excl_gst + gst (exact)</t>
  </si>
  <si>
    <t xml:space="preserve">  CHECK_4: npmv_gst = 0 always (8th Schedule)</t>
  </si>
  <si>
    <t xml:space="preserve">  CHECK_5: wht = 0 for IPP (SRO/Rule 5)</t>
  </si>
  <si>
    <t xml:space="preserve">  CHECK_6: fbr_output_tax reconciles with invoice gst</t>
  </si>
  <si>
    <t xml:space="preserve">  CHECK_7: net_payable = output - itc (verify against CPR)</t>
  </si>
  <si>
    <t>KEY DATA - AWPPL MAR 2026:</t>
  </si>
  <si>
    <t xml:space="preserve">  NDE: 9,533,490 kWh @ Rs.13.3959 = Rs.127,709,679</t>
  </si>
  <si>
    <t xml:space="preserve">  NPMV: 532,915 kWh @ Rs.13.3959 = Rs.7,138,876 (NO GST)</t>
  </si>
  <si>
    <t xml:space="preserve">  Total excl.GST: Rs.134,848,555 | GST 18%: Rs.22,987,742</t>
  </si>
  <si>
    <t xml:space="preserve">  Total Invoice: Rs.157,836,297 | Net GST Paid: Rs.2,583,448</t>
  </si>
  <si>
    <t xml:space="preserve">  FBR Output Tax: Rs.7,380,710 | ITC: Rs.4,797,262</t>
  </si>
  <si>
    <t>KEY DATA - CEPL MAR 2026:</t>
  </si>
  <si>
    <t xml:space="preserve">  NDE: 14,889,280 kWh @ Rs.47.6652 = Rs.709,700,509</t>
  </si>
  <si>
    <t xml:space="preserve">  NPMV: 221,906 kWh (claimed) vs 185,985 kWh (verified) -- DISCREPANCY</t>
  </si>
  <si>
    <t xml:space="preserve">  NPMV Amount Diff: Rs.1,712,154 overcharged</t>
  </si>
  <si>
    <t xml:space="preserve">  GST @ 18%: Rs.127,746,092 | Total Invoice: Rs.848,023,787</t>
  </si>
  <si>
    <t>EXTENSION COMMANDS:</t>
  </si>
  <si>
    <t xml:space="preserve">  'Extract GST data from [file] and add tab for [IPP NAME]'</t>
  </si>
  <si>
    <t xml:space="preserve">  'Recalculate NPMV discrepancy for CEPL'</t>
  </si>
  <si>
    <t xml:space="preserve">  'Apply Finance Act 2026 rate changes'</t>
  </si>
  <si>
    <t xml:space="preserve">  'Show WHT exposure if SRO 586 is withdrawn'</t>
  </si>
  <si>
    <t xml:space="preserve">  'Compute default surcharge for 45 days at KIBOR 20%'</t>
  </si>
  <si>
    <t xml:space="preserve">  'Verify GST return against invoice and flag overcharges'</t>
  </si>
  <si>
    <t>FORMATTING: Blue=inputs | Black=formulas | Green=links | Yellow=assumptions</t>
  </si>
  <si>
    <t xml:space="preserve">  Green bg=compliant | Orange bg=discrepancy | Currency: #,##0;(#,##0);"-"</t>
  </si>
  <si>
    <t xml:space="preserve">  Zero formula errors mandatory | Arial font | showGridLines=False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</si>
</sst>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#,##0.0000;\(#,##0.0000\);\-"/>
    <numFmt numFmtId="166" formatCode="0.00%;\(0.00%\);\-"/>
    <numFmt numFmtId="167" formatCode="0.0000%;\(0.0000%\);\-"/>
  </numFmts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2E75B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00703C"/>
      <name val="Arial"/>
      <charset val="1"/>
    </font>
    <font>
      <sz val="9"/>
      <color rgb="FF375623"/>
      <name val="Arial"/>
      <charset val="1"/>
    </font>
    <font>
      <sz val="9"/>
      <name val="Arial"/>
      <charset val="1"/>
    </font>
    <font>
      <sz val="9"/>
      <color rgb="FF9C0006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i/>
      <sz val="9"/>
      <color rgb="FF000000"/>
      <name val="Arial"/>
      <charset val="1"/>
    </font>
    <font>
      <b/>
      <sz val="9"/>
      <color rgb="FF0000FF"/>
      <name val="Arial"/>
      <charset val="1"/>
    </font>
    <font>
      <i/>
      <sz val="9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b/>
      <sz val="9"/>
      <color rgb="FFE26B0A"/>
      <name val="Arial"/>
      <charset val="1"/>
    </font>
    <font>
      <b/>
      <i/>
      <sz val="9"/>
      <color rgb="FF000000"/>
      <name val="Arial"/>
      <charset val="1"/>
    </font>
    <font>
      <b/>
      <sz val="11"/>
      <color rgb="FF0000FF"/>
      <name val="Arial"/>
      <charset val="1"/>
    </font>
    <font>
      <i/>
      <sz val="9"/>
      <color rgb="FF375623"/>
      <name val="Arial"/>
      <charset val="1"/>
    </font>
    <font>
      <sz val="9"/>
      <color rgb="FFD4D4D4"/>
      <name val="Courier New"/>
      <charset val="1"/>
    </font>
    <font>
      <b/>
      <sz val="9"/>
      <color rgb="FFD4D4D4"/>
      <name val="Courier New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008080"/>
      </patternFill>
    </fill>
    <fill>
      <patternFill patternType="solid">
        <fgColor rgb="FFEBF5FB"/>
        <bgColor rgb="FFE2EFDA"/>
      </patternFill>
    </fill>
    <fill>
      <patternFill patternType="solid">
        <fgColor rgb="FFFFFFFF"/>
        <bgColor rgb="FFEBF5FB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1E1E1E"/>
      </patternFill>
    </fill>
    <fill>
      <patternFill patternType="solid">
        <fgColor rgb="FF00703C"/>
        <bgColor rgb="FF008080"/>
      </patternFill>
    </fill>
    <fill>
      <patternFill patternType="solid">
        <fgColor rgb="FFFFE699"/>
        <bgColor rgb="FFFFCC99"/>
      </patternFill>
    </fill>
    <fill>
      <patternFill patternType="solid">
        <fgColor rgb="FFE2EFDA"/>
        <bgColor rgb="FFEBF5FB"/>
      </patternFill>
    </fill>
    <fill>
      <patternFill patternType="solid">
        <fgColor rgb="FFFCE4D6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A5276"/>
        <bgColor rgb="FF1F3864"/>
      </patternFill>
    </fill>
    <fill>
      <patternFill patternType="solid">
        <fgColor rgb="FFBDD7EE"/>
        <bgColor rgb="FFD4D4D4"/>
      </patternFill>
    </fill>
    <fill>
      <patternFill patternType="solid">
        <fgColor rgb="FF5B2C6F"/>
        <bgColor rgb="FF1F3864"/>
      </patternFill>
    </fill>
    <fill>
      <patternFill patternType="solid">
        <fgColor rgb="FFE26B0A"/>
        <bgColor rgb="FFFF9900"/>
      </patternFill>
    </fill>
    <fill>
      <patternFill patternType="solid">
        <fgColor rgb="FF1E1E1E"/>
        <bgColor rgb="FF00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15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right" vertical="center" wrapText="1"/>
    </xf>
    <xf numFmtId="165" fontId="15" fillId="11" borderId="1" xfId="0" applyNumberFormat="1" applyFont="1" applyFill="1" applyBorder="1" applyAlignment="1">
      <alignment horizontal="right" vertical="center"/>
    </xf>
    <xf numFmtId="0" fontId="16" fillId="10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right" vertical="center" wrapText="1"/>
    </xf>
    <xf numFmtId="165" fontId="10" fillId="4" borderId="1" xfId="0" applyNumberFormat="1" applyFont="1" applyFill="1" applyBorder="1" applyAlignment="1">
      <alignment horizontal="right" vertical="center" wrapText="1"/>
    </xf>
    <xf numFmtId="164" fontId="15" fillId="11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right" vertical="center" wrapText="1"/>
    </xf>
    <xf numFmtId="0" fontId="17" fillId="5" borderId="1" xfId="0" applyFont="1" applyFill="1" applyBorder="1" applyAlignment="1">
      <alignment horizontal="left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right" vertical="center" wrapText="1"/>
    </xf>
    <xf numFmtId="0" fontId="17" fillId="4" borderId="1" xfId="0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right" vertical="center"/>
    </xf>
    <xf numFmtId="166" fontId="10" fillId="5" borderId="1" xfId="0" applyNumberFormat="1" applyFont="1" applyFill="1" applyBorder="1" applyAlignment="1">
      <alignment horizontal="center" vertical="center" wrapText="1"/>
    </xf>
    <xf numFmtId="166" fontId="10" fillId="4" borderId="1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164" fontId="18" fillId="14" borderId="1" xfId="0" applyNumberFormat="1" applyFont="1" applyFill="1" applyBorder="1" applyAlignment="1">
      <alignment horizontal="right" vertical="center" wrapText="1"/>
    </xf>
    <xf numFmtId="164" fontId="8" fillId="14" borderId="1" xfId="0" applyNumberFormat="1" applyFont="1" applyFill="1" applyBorder="1" applyAlignment="1">
      <alignment horizontal="right" vertical="center" wrapText="1"/>
    </xf>
    <xf numFmtId="0" fontId="17" fillId="14" borderId="1" xfId="0" applyFont="1" applyFill="1" applyBorder="1" applyAlignment="1">
      <alignment horizontal="left" vertical="center" wrapText="1"/>
    </xf>
    <xf numFmtId="164" fontId="9" fillId="14" borderId="1" xfId="0" applyNumberFormat="1" applyFont="1" applyFill="1" applyBorder="1" applyAlignment="1">
      <alignment horizontal="right" vertical="center"/>
    </xf>
    <xf numFmtId="0" fontId="19" fillId="14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164" fontId="9" fillId="10" borderId="1" xfId="0" applyNumberFormat="1" applyFont="1" applyFill="1" applyBorder="1" applyAlignment="1">
      <alignment horizontal="right" vertical="center" wrapText="1"/>
    </xf>
    <xf numFmtId="164" fontId="20" fillId="10" borderId="1" xfId="0" applyNumberFormat="1" applyFont="1" applyFill="1" applyBorder="1" applyAlignment="1">
      <alignment horizontal="right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right" vertical="center" wrapText="1"/>
    </xf>
    <xf numFmtId="164" fontId="21" fillId="9" borderId="1" xfId="0" applyNumberFormat="1" applyFont="1" applyFill="1" applyBorder="1" applyAlignment="1">
      <alignment horizontal="righ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right" vertical="center" wrapText="1"/>
    </xf>
    <xf numFmtId="0" fontId="20" fillId="4" borderId="1" xfId="0" applyFont="1" applyFill="1" applyBorder="1" applyAlignment="1">
      <alignment horizontal="righ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right" vertical="center" wrapText="1"/>
    </xf>
    <xf numFmtId="0" fontId="17" fillId="4" borderId="1" xfId="0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right" vertical="center" wrapText="1"/>
    </xf>
    <xf numFmtId="165" fontId="14" fillId="11" borderId="1" xfId="0" applyNumberFormat="1" applyFont="1" applyFill="1" applyBorder="1" applyAlignment="1">
      <alignment horizontal="right" vertical="center" wrapText="1"/>
    </xf>
    <xf numFmtId="164" fontId="14" fillId="11" borderId="1" xfId="0" applyNumberFormat="1" applyFont="1" applyFill="1" applyBorder="1" applyAlignment="1">
      <alignment horizontal="right" vertical="center" wrapText="1"/>
    </xf>
    <xf numFmtId="0" fontId="17" fillId="5" borderId="1" xfId="0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right" vertical="center" wrapText="1"/>
    </xf>
    <xf numFmtId="165" fontId="9" fillId="5" borderId="1" xfId="0" applyNumberFormat="1" applyFont="1" applyFill="1" applyBorder="1" applyAlignment="1">
      <alignment horizontal="right" vertical="center" wrapText="1"/>
    </xf>
    <xf numFmtId="165" fontId="12" fillId="10" borderId="1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13" fillId="11" borderId="1" xfId="0" applyNumberFormat="1" applyFont="1" applyFill="1" applyBorder="1" applyAlignment="1">
      <alignment horizontal="right" vertical="center"/>
    </xf>
    <xf numFmtId="164" fontId="13" fillId="11" borderId="1" xfId="0" applyNumberFormat="1" applyFont="1" applyFill="1" applyBorder="1" applyAlignment="1">
      <alignment horizontal="right" vertical="center"/>
    </xf>
    <xf numFmtId="164" fontId="19" fillId="11" borderId="1" xfId="0" applyNumberFormat="1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164" fontId="10" fillId="10" borderId="1" xfId="0" applyNumberFormat="1" applyFont="1" applyFill="1" applyBorder="1" applyAlignment="1">
      <alignment horizontal="right" vertical="center" wrapText="1"/>
    </xf>
    <xf numFmtId="166" fontId="10" fillId="10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164" fontId="10" fillId="11" borderId="1" xfId="0" applyNumberFormat="1" applyFont="1" applyFill="1" applyBorder="1" applyAlignment="1">
      <alignment horizontal="right" vertical="center" wrapText="1"/>
    </xf>
    <xf numFmtId="164" fontId="9" fillId="11" borderId="1" xfId="0" applyNumberFormat="1" applyFont="1" applyFill="1" applyBorder="1" applyAlignment="1">
      <alignment horizontal="right" vertical="center" wrapText="1"/>
    </xf>
    <xf numFmtId="164" fontId="21" fillId="11" borderId="1" xfId="0" applyNumberFormat="1" applyFont="1" applyFill="1" applyBorder="1" applyAlignment="1">
      <alignment horizontal="right" vertical="center" wrapText="1"/>
    </xf>
    <xf numFmtId="166" fontId="10" fillId="11" borderId="1" xfId="0" applyNumberFormat="1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165" fontId="9" fillId="10" borderId="1" xfId="0" applyNumberFormat="1" applyFont="1" applyFill="1" applyBorder="1" applyAlignment="1">
      <alignment horizontal="right" vertical="center" wrapText="1"/>
    </xf>
    <xf numFmtId="164" fontId="12" fillId="10" borderId="1" xfId="0" applyNumberFormat="1" applyFont="1" applyFill="1" applyBorder="1" applyAlignment="1">
      <alignment horizontal="right" vertical="center" wrapText="1"/>
    </xf>
    <xf numFmtId="167" fontId="9" fillId="10" borderId="1" xfId="0" applyNumberFormat="1" applyFont="1" applyFill="1" applyBorder="1" applyAlignment="1">
      <alignment horizontal="right" vertical="center" wrapText="1"/>
    </xf>
    <xf numFmtId="0" fontId="8" fillId="11" borderId="1" xfId="0" applyFont="1" applyFill="1" applyBorder="1" applyAlignment="1">
      <alignment horizontal="left" vertical="center" wrapText="1"/>
    </xf>
    <xf numFmtId="167" fontId="9" fillId="11" borderId="1" xfId="0" applyNumberFormat="1" applyFont="1" applyFill="1" applyBorder="1" applyAlignment="1">
      <alignment horizontal="right" vertical="center" wrapText="1"/>
    </xf>
    <xf numFmtId="0" fontId="9" fillId="10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horizontal="left" vertical="center" wrapText="1"/>
    </xf>
    <xf numFmtId="164" fontId="8" fillId="10" borderId="1" xfId="0" applyNumberFormat="1" applyFont="1" applyFill="1" applyBorder="1" applyAlignment="1">
      <alignment horizontal="right" vertical="center" wrapText="1"/>
    </xf>
    <xf numFmtId="164" fontId="13" fillId="10" borderId="1" xfId="0" applyNumberFormat="1" applyFont="1" applyFill="1" applyBorder="1" applyAlignment="1">
      <alignment horizontal="right" vertical="center"/>
    </xf>
    <xf numFmtId="0" fontId="20" fillId="10" borderId="1" xfId="0" applyFont="1" applyFill="1" applyBorder="1" applyAlignment="1">
      <alignment horizontal="left" vertical="center" wrapText="1"/>
    </xf>
    <xf numFmtId="164" fontId="13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166" fontId="24" fillId="12" borderId="1" xfId="0" applyNumberFormat="1" applyFont="1" applyFill="1" applyBorder="1" applyAlignment="1">
      <alignment horizontal="center" vertical="center" wrapText="1"/>
    </xf>
    <xf numFmtId="166" fontId="11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 wrapText="1"/>
    </xf>
    <xf numFmtId="167" fontId="13" fillId="4" borderId="1" xfId="0" applyNumberFormat="1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167" fontId="13" fillId="5" borderId="1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6" fontId="11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3" fillId="16" borderId="1" xfId="0" applyFont="1" applyFill="1" applyBorder="1" applyAlignment="1">
      <alignment horizontal="center" vertical="center" wrapText="1"/>
    </xf>
    <xf numFmtId="0" fontId="26" fillId="17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703C"/>
      <rgbColor rgb="FF000080"/>
      <rgbColor rgb="FF808000"/>
      <rgbColor rgb="FF800080"/>
      <rgbColor rgb="FF008080"/>
      <rgbColor rgb="FFD4D4D4"/>
      <rgbColor rgb="FF808080"/>
      <rgbColor rgb="FF9999FF"/>
      <rgbColor rgb="FF993366"/>
      <rgbColor rgb="FFFCE4D6"/>
      <rgbColor rgb="FFEBF5FB"/>
      <rgbColor rgb="FF660066"/>
      <rgbColor rgb="FFFF8080"/>
      <rgbColor rgb="FF1A527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5B2C6F"/>
      <rgbColor rgb="FF1E1E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zoomScaleNormal="100" workbookViewId="0">
      <pane xSplit="1" ySplit="5" topLeftCell="B17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8.6640625" defaultRowHeight="14.4" x14ac:dyDescent="0.3"/>
  <cols>
    <col min="1" max="1" width="6" customWidth="1"/>
    <col min="2" max="2" width="22" customWidth="1"/>
    <col min="3" max="3" width="55" customWidth="1"/>
  </cols>
  <sheetData>
    <row r="1" spans="1:7" ht="60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30" customHeight="1" x14ac:dyDescent="0.3">
      <c r="A2" s="13" t="s">
        <v>1</v>
      </c>
      <c r="B2" s="13"/>
      <c r="C2" s="13"/>
      <c r="D2" s="13"/>
      <c r="E2" s="13"/>
      <c r="F2" s="13"/>
      <c r="G2" s="13"/>
    </row>
    <row r="4" spans="1:7" ht="15" customHeight="1" x14ac:dyDescent="0.3">
      <c r="A4" s="12" t="s">
        <v>2</v>
      </c>
      <c r="B4" s="12"/>
      <c r="C4" s="12"/>
      <c r="D4" s="12"/>
      <c r="E4" s="12"/>
      <c r="F4" s="12"/>
      <c r="G4" s="12"/>
    </row>
    <row r="5" spans="1:7" ht="15" customHeight="1" x14ac:dyDescent="0.3">
      <c r="A5" s="15" t="s">
        <v>3</v>
      </c>
      <c r="B5" s="15" t="s">
        <v>4</v>
      </c>
      <c r="C5" s="15" t="s">
        <v>5</v>
      </c>
    </row>
    <row r="6" spans="1:7" ht="15" customHeight="1" x14ac:dyDescent="0.3">
      <c r="A6" s="16" t="s">
        <v>6</v>
      </c>
      <c r="B6" s="17" t="s">
        <v>7</v>
      </c>
      <c r="C6" s="18" t="s">
        <v>8</v>
      </c>
    </row>
    <row r="7" spans="1:7" ht="15" customHeight="1" x14ac:dyDescent="0.3">
      <c r="A7" s="19" t="s">
        <v>9</v>
      </c>
      <c r="B7" s="20" t="s">
        <v>10</v>
      </c>
      <c r="C7" s="21" t="s">
        <v>11</v>
      </c>
    </row>
    <row r="8" spans="1:7" ht="15" customHeight="1" x14ac:dyDescent="0.3">
      <c r="A8" s="16" t="s">
        <v>12</v>
      </c>
      <c r="B8" s="17" t="s">
        <v>13</v>
      </c>
      <c r="C8" s="18" t="s">
        <v>14</v>
      </c>
    </row>
    <row r="9" spans="1:7" ht="15" customHeight="1" x14ac:dyDescent="0.3">
      <c r="A9" s="19" t="s">
        <v>15</v>
      </c>
      <c r="B9" s="20" t="s">
        <v>16</v>
      </c>
      <c r="C9" s="21" t="s">
        <v>17</v>
      </c>
    </row>
    <row r="10" spans="1:7" ht="15" customHeight="1" x14ac:dyDescent="0.3">
      <c r="A10" s="16" t="s">
        <v>18</v>
      </c>
      <c r="B10" s="17" t="s">
        <v>19</v>
      </c>
      <c r="C10" s="18" t="s">
        <v>20</v>
      </c>
    </row>
    <row r="11" spans="1:7" ht="15" customHeight="1" x14ac:dyDescent="0.3">
      <c r="A11" s="19" t="s">
        <v>21</v>
      </c>
      <c r="B11" s="20" t="s">
        <v>22</v>
      </c>
      <c r="C11" s="21" t="s">
        <v>23</v>
      </c>
    </row>
    <row r="12" spans="1:7" ht="23.25" customHeight="1" x14ac:dyDescent="0.3">
      <c r="A12" s="16" t="s">
        <v>24</v>
      </c>
      <c r="B12" s="17" t="s">
        <v>25</v>
      </c>
      <c r="C12" s="18" t="s">
        <v>26</v>
      </c>
    </row>
    <row r="13" spans="1:7" ht="15" customHeight="1" x14ac:dyDescent="0.3">
      <c r="A13" s="19" t="s">
        <v>27</v>
      </c>
      <c r="B13" s="20" t="s">
        <v>28</v>
      </c>
      <c r="C13" s="21" t="s">
        <v>29</v>
      </c>
    </row>
    <row r="14" spans="1:7" ht="15" customHeight="1" x14ac:dyDescent="0.3">
      <c r="A14" s="16" t="s">
        <v>30</v>
      </c>
      <c r="B14" s="17" t="s">
        <v>31</v>
      </c>
      <c r="C14" s="18" t="s">
        <v>32</v>
      </c>
    </row>
    <row r="15" spans="1:7" ht="15" customHeight="1" x14ac:dyDescent="0.3">
      <c r="A15" s="22"/>
      <c r="B15" s="22"/>
      <c r="C15" s="22"/>
    </row>
    <row r="16" spans="1:7" ht="15" customHeight="1" x14ac:dyDescent="0.3">
      <c r="A16" s="12" t="s">
        <v>33</v>
      </c>
      <c r="B16" s="12"/>
      <c r="C16" s="12"/>
      <c r="D16" s="12"/>
      <c r="E16" s="12"/>
      <c r="F16" s="12"/>
      <c r="G16" s="12"/>
    </row>
    <row r="17" spans="1:3" ht="15" customHeight="1" x14ac:dyDescent="0.3">
      <c r="A17" s="11" t="s">
        <v>34</v>
      </c>
      <c r="B17" s="11"/>
      <c r="C17" s="21" t="s">
        <v>35</v>
      </c>
    </row>
    <row r="18" spans="1:3" ht="15" customHeight="1" x14ac:dyDescent="0.3">
      <c r="A18" s="10" t="s">
        <v>36</v>
      </c>
      <c r="B18" s="10"/>
      <c r="C18" s="18" t="s">
        <v>37</v>
      </c>
    </row>
    <row r="19" spans="1:3" ht="15" customHeight="1" x14ac:dyDescent="0.3">
      <c r="A19" s="9" t="s">
        <v>38</v>
      </c>
      <c r="B19" s="9"/>
      <c r="C19" s="21" t="s">
        <v>39</v>
      </c>
    </row>
    <row r="20" spans="1:3" ht="15" customHeight="1" x14ac:dyDescent="0.3">
      <c r="A20" s="8" t="s">
        <v>40</v>
      </c>
      <c r="B20" s="8"/>
      <c r="C20" s="18" t="s">
        <v>41</v>
      </c>
    </row>
    <row r="21" spans="1:3" ht="15" customHeight="1" x14ac:dyDescent="0.3">
      <c r="A21" s="7" t="s">
        <v>42</v>
      </c>
      <c r="B21" s="7"/>
      <c r="C21" s="21" t="s">
        <v>43</v>
      </c>
    </row>
    <row r="22" spans="1:3" ht="15" customHeight="1" x14ac:dyDescent="0.3">
      <c r="A22" s="6" t="s">
        <v>44</v>
      </c>
      <c r="B22" s="6"/>
      <c r="C22" s="18" t="s">
        <v>45</v>
      </c>
    </row>
    <row r="23" spans="1:3" ht="15" customHeight="1" x14ac:dyDescent="0.3">
      <c r="A23" s="5" t="s">
        <v>46</v>
      </c>
      <c r="B23" s="5"/>
      <c r="C23" s="21" t="s">
        <v>47</v>
      </c>
    </row>
    <row r="24" spans="1:3" ht="15" customHeight="1" x14ac:dyDescent="0.3">
      <c r="A24" s="4" t="s">
        <v>48</v>
      </c>
      <c r="B24" s="4"/>
      <c r="C24" s="18" t="s">
        <v>49</v>
      </c>
    </row>
  </sheetData>
  <mergeCells count="12">
    <mergeCell ref="A23:B23"/>
    <mergeCell ref="A24:B24"/>
    <mergeCell ref="A18:B18"/>
    <mergeCell ref="A19:B19"/>
    <mergeCell ref="A20:B20"/>
    <mergeCell ref="A21:B21"/>
    <mergeCell ref="A22:B22"/>
    <mergeCell ref="A1:G1"/>
    <mergeCell ref="A2:G2"/>
    <mergeCell ref="A4:G4"/>
    <mergeCell ref="A16:G16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5" sqref="E5"/>
    </sheetView>
  </sheetViews>
  <sheetFormatPr defaultColWidth="8.6640625" defaultRowHeight="14.4" x14ac:dyDescent="0.3"/>
  <cols>
    <col min="1" max="1" width="5" customWidth="1"/>
    <col min="2" max="2" width="18" customWidth="1"/>
    <col min="3" max="3" width="45" customWidth="1"/>
    <col min="4" max="4" width="20" customWidth="1"/>
    <col min="5" max="7" width="35" customWidth="1"/>
    <col min="8" max="8" width="25" customWidth="1"/>
  </cols>
  <sheetData>
    <row r="1" spans="1:8" ht="49.5" customHeight="1" x14ac:dyDescent="0.3">
      <c r="A1" s="3" t="s">
        <v>50</v>
      </c>
      <c r="B1" s="3"/>
      <c r="C1" s="3"/>
      <c r="D1" s="3"/>
      <c r="E1" s="3"/>
      <c r="F1" s="3"/>
      <c r="G1" s="3"/>
      <c r="H1" s="3"/>
    </row>
    <row r="2" spans="1:8" ht="24.75" customHeight="1" x14ac:dyDescent="0.3">
      <c r="A2" s="13" t="s">
        <v>51</v>
      </c>
      <c r="B2" s="13"/>
      <c r="C2" s="13"/>
      <c r="D2" s="13"/>
      <c r="E2" s="13"/>
      <c r="F2" s="13"/>
      <c r="G2" s="13"/>
      <c r="H2" s="13"/>
    </row>
    <row r="4" spans="1:8" ht="15" customHeight="1" x14ac:dyDescent="0.3">
      <c r="A4" s="15" t="s">
        <v>3</v>
      </c>
      <c r="B4" s="15" t="s">
        <v>52</v>
      </c>
      <c r="C4" s="15" t="s">
        <v>53</v>
      </c>
      <c r="D4" s="15" t="s">
        <v>54</v>
      </c>
      <c r="E4" s="15" t="s">
        <v>55</v>
      </c>
      <c r="F4" s="15" t="s">
        <v>56</v>
      </c>
      <c r="G4" s="15" t="s">
        <v>57</v>
      </c>
      <c r="H4" s="15" t="s">
        <v>58</v>
      </c>
    </row>
    <row r="5" spans="1:8" ht="42" customHeight="1" x14ac:dyDescent="0.3">
      <c r="A5" s="19">
        <v>1</v>
      </c>
      <c r="B5" s="23" t="s">
        <v>59</v>
      </c>
      <c r="C5" s="24" t="s">
        <v>60</v>
      </c>
      <c r="D5" s="23" t="s">
        <v>61</v>
      </c>
      <c r="E5" s="25" t="s">
        <v>62</v>
      </c>
      <c r="F5" s="26" t="s">
        <v>63</v>
      </c>
      <c r="G5" s="24" t="s">
        <v>64</v>
      </c>
      <c r="H5" s="24" t="s">
        <v>65</v>
      </c>
    </row>
    <row r="6" spans="1:8" ht="42" customHeight="1" x14ac:dyDescent="0.3">
      <c r="A6" s="16">
        <v>2</v>
      </c>
      <c r="B6" s="27" t="s">
        <v>66</v>
      </c>
      <c r="C6" s="28" t="s">
        <v>67</v>
      </c>
      <c r="D6" s="27" t="s">
        <v>68</v>
      </c>
      <c r="E6" s="29" t="s">
        <v>69</v>
      </c>
      <c r="F6" s="30" t="s">
        <v>70</v>
      </c>
      <c r="G6" s="28" t="s">
        <v>71</v>
      </c>
      <c r="H6" s="28" t="s">
        <v>72</v>
      </c>
    </row>
    <row r="7" spans="1:8" ht="42" customHeight="1" x14ac:dyDescent="0.3">
      <c r="A7" s="19">
        <v>3</v>
      </c>
      <c r="B7" s="23" t="s">
        <v>73</v>
      </c>
      <c r="C7" s="24" t="s">
        <v>74</v>
      </c>
      <c r="D7" s="23" t="s">
        <v>75</v>
      </c>
      <c r="E7" s="25" t="s">
        <v>76</v>
      </c>
      <c r="F7" s="26" t="s">
        <v>77</v>
      </c>
      <c r="G7" s="24" t="s">
        <v>78</v>
      </c>
      <c r="H7" s="24" t="s">
        <v>79</v>
      </c>
    </row>
    <row r="8" spans="1:8" ht="42" customHeight="1" x14ac:dyDescent="0.3">
      <c r="A8" s="16">
        <v>4</v>
      </c>
      <c r="B8" s="27" t="s">
        <v>80</v>
      </c>
      <c r="C8" s="28" t="s">
        <v>81</v>
      </c>
      <c r="D8" s="27" t="s">
        <v>82</v>
      </c>
      <c r="E8" s="29" t="s">
        <v>83</v>
      </c>
      <c r="F8" s="30" t="s">
        <v>84</v>
      </c>
      <c r="G8" s="28" t="s">
        <v>85</v>
      </c>
      <c r="H8" s="28" t="s">
        <v>86</v>
      </c>
    </row>
    <row r="9" spans="1:8" ht="42" customHeight="1" x14ac:dyDescent="0.3">
      <c r="A9" s="19">
        <v>5</v>
      </c>
      <c r="B9" s="23" t="s">
        <v>87</v>
      </c>
      <c r="C9" s="24" t="s">
        <v>88</v>
      </c>
      <c r="D9" s="23" t="s">
        <v>89</v>
      </c>
      <c r="E9" s="25" t="s">
        <v>90</v>
      </c>
      <c r="F9" s="26" t="s">
        <v>91</v>
      </c>
      <c r="G9" s="24" t="s">
        <v>92</v>
      </c>
      <c r="H9" s="24" t="s">
        <v>93</v>
      </c>
    </row>
    <row r="10" spans="1:8" ht="42" customHeight="1" x14ac:dyDescent="0.3">
      <c r="A10" s="16">
        <v>6</v>
      </c>
      <c r="B10" s="27" t="s">
        <v>94</v>
      </c>
      <c r="C10" s="28" t="s">
        <v>95</v>
      </c>
      <c r="D10" s="27" t="s">
        <v>96</v>
      </c>
      <c r="E10" s="29" t="s">
        <v>97</v>
      </c>
      <c r="F10" s="30" t="s">
        <v>98</v>
      </c>
      <c r="G10" s="28" t="s">
        <v>99</v>
      </c>
      <c r="H10" s="28" t="s">
        <v>100</v>
      </c>
    </row>
    <row r="11" spans="1:8" ht="42" customHeight="1" x14ac:dyDescent="0.3">
      <c r="A11" s="19">
        <v>7</v>
      </c>
      <c r="B11" s="23" t="s">
        <v>101</v>
      </c>
      <c r="C11" s="24" t="s">
        <v>102</v>
      </c>
      <c r="D11" s="23" t="s">
        <v>103</v>
      </c>
      <c r="E11" s="25" t="s">
        <v>104</v>
      </c>
      <c r="F11" s="26" t="s">
        <v>105</v>
      </c>
      <c r="G11" s="24" t="s">
        <v>106</v>
      </c>
      <c r="H11" s="24" t="s">
        <v>107</v>
      </c>
    </row>
    <row r="12" spans="1:8" ht="42" customHeight="1" x14ac:dyDescent="0.3">
      <c r="A12" s="16">
        <v>8</v>
      </c>
      <c r="B12" s="27" t="s">
        <v>108</v>
      </c>
      <c r="C12" s="28" t="s">
        <v>109</v>
      </c>
      <c r="D12" s="27" t="s">
        <v>110</v>
      </c>
      <c r="E12" s="29" t="s">
        <v>111</v>
      </c>
      <c r="F12" s="30" t="s">
        <v>112</v>
      </c>
      <c r="G12" s="28" t="s">
        <v>113</v>
      </c>
      <c r="H12" s="28" t="s">
        <v>114</v>
      </c>
    </row>
    <row r="13" spans="1:8" ht="42" customHeight="1" x14ac:dyDescent="0.3">
      <c r="A13" s="19">
        <v>9</v>
      </c>
      <c r="B13" s="23" t="s">
        <v>115</v>
      </c>
      <c r="C13" s="24" t="s">
        <v>116</v>
      </c>
      <c r="D13" s="23" t="s">
        <v>117</v>
      </c>
      <c r="E13" s="25" t="s">
        <v>118</v>
      </c>
      <c r="F13" s="26" t="s">
        <v>119</v>
      </c>
      <c r="G13" s="24" t="s">
        <v>120</v>
      </c>
      <c r="H13" s="24" t="s">
        <v>121</v>
      </c>
    </row>
    <row r="14" spans="1:8" ht="42" customHeight="1" x14ac:dyDescent="0.3">
      <c r="A14" s="16">
        <v>10</v>
      </c>
      <c r="B14" s="27" t="s">
        <v>122</v>
      </c>
      <c r="C14" s="28" t="s">
        <v>123</v>
      </c>
      <c r="D14" s="27" t="s">
        <v>124</v>
      </c>
      <c r="E14" s="29" t="s">
        <v>125</v>
      </c>
      <c r="F14" s="30" t="s">
        <v>126</v>
      </c>
      <c r="G14" s="28" t="s">
        <v>127</v>
      </c>
      <c r="H14" s="28" t="s">
        <v>128</v>
      </c>
    </row>
    <row r="15" spans="1:8" ht="42" customHeight="1" x14ac:dyDescent="0.3">
      <c r="A15" s="19">
        <v>11</v>
      </c>
      <c r="B15" s="23" t="s">
        <v>129</v>
      </c>
      <c r="C15" s="24" t="s">
        <v>130</v>
      </c>
      <c r="D15" s="23" t="s">
        <v>131</v>
      </c>
      <c r="E15" s="25" t="s">
        <v>132</v>
      </c>
      <c r="F15" s="26" t="s">
        <v>133</v>
      </c>
      <c r="G15" s="24" t="s">
        <v>134</v>
      </c>
      <c r="H15" s="24" t="s">
        <v>135</v>
      </c>
    </row>
    <row r="16" spans="1:8" ht="42" customHeight="1" x14ac:dyDescent="0.3">
      <c r="A16" s="16">
        <v>12</v>
      </c>
      <c r="B16" s="27" t="s">
        <v>136</v>
      </c>
      <c r="C16" s="28" t="s">
        <v>137</v>
      </c>
      <c r="D16" s="27" t="s">
        <v>138</v>
      </c>
      <c r="E16" s="29" t="s">
        <v>139</v>
      </c>
      <c r="F16" s="30" t="s">
        <v>140</v>
      </c>
      <c r="G16" s="28" t="s">
        <v>141</v>
      </c>
      <c r="H16" s="28" t="s">
        <v>142</v>
      </c>
    </row>
    <row r="17" spans="1:8" ht="42" customHeight="1" x14ac:dyDescent="0.3">
      <c r="A17" s="19">
        <v>13</v>
      </c>
      <c r="B17" s="23" t="s">
        <v>143</v>
      </c>
      <c r="C17" s="24" t="s">
        <v>144</v>
      </c>
      <c r="D17" s="23" t="s">
        <v>145</v>
      </c>
      <c r="E17" s="25" t="s">
        <v>146</v>
      </c>
      <c r="F17" s="26" t="s">
        <v>147</v>
      </c>
      <c r="G17" s="24" t="s">
        <v>148</v>
      </c>
      <c r="H17" s="24" t="s">
        <v>149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zoomScaleNormal="100" workbookViewId="0">
      <pane xSplit="1" ySplit="5" topLeftCell="B19" activePane="bottomRight" state="frozen"/>
      <selection pane="topRight" activeCell="B1" sqref="B1"/>
      <selection pane="bottomLeft" activeCell="A6" sqref="A6"/>
      <selection pane="bottomRight" sqref="A1:H1"/>
    </sheetView>
  </sheetViews>
  <sheetFormatPr defaultColWidth="8.6640625" defaultRowHeight="14.4" x14ac:dyDescent="0.3"/>
  <cols>
    <col min="1" max="1" width="22" customWidth="1"/>
    <col min="2" max="2" width="24" customWidth="1"/>
    <col min="3" max="3" width="18" customWidth="1"/>
    <col min="4" max="4" width="12" customWidth="1"/>
    <col min="5" max="5" width="28" customWidth="1"/>
    <col min="6" max="6" width="30" customWidth="1"/>
    <col min="7" max="7" width="18" customWidth="1"/>
    <col min="8" max="8" width="35" customWidth="1"/>
  </cols>
  <sheetData>
    <row r="1" spans="1:8" ht="49.5" customHeight="1" x14ac:dyDescent="0.3">
      <c r="A1" s="3" t="s">
        <v>150</v>
      </c>
      <c r="B1" s="3"/>
      <c r="C1" s="3"/>
      <c r="D1" s="3"/>
      <c r="E1" s="3"/>
      <c r="F1" s="3"/>
      <c r="G1" s="3"/>
      <c r="H1" s="3"/>
    </row>
    <row r="2" spans="1:8" ht="24.75" customHeight="1" x14ac:dyDescent="0.3">
      <c r="A2" s="13" t="s">
        <v>151</v>
      </c>
      <c r="B2" s="13"/>
      <c r="C2" s="13"/>
      <c r="D2" s="13"/>
      <c r="E2" s="13"/>
      <c r="F2" s="13"/>
      <c r="G2" s="13"/>
      <c r="H2" s="13"/>
    </row>
    <row r="4" spans="1:8" ht="15" customHeight="1" x14ac:dyDescent="0.3">
      <c r="A4" s="15" t="s">
        <v>152</v>
      </c>
      <c r="B4" s="15" t="s">
        <v>153</v>
      </c>
      <c r="C4" s="15" t="s">
        <v>154</v>
      </c>
      <c r="D4" s="15" t="s">
        <v>155</v>
      </c>
      <c r="E4" s="15" t="s">
        <v>156</v>
      </c>
      <c r="F4" s="15" t="s">
        <v>157</v>
      </c>
      <c r="G4" s="15" t="s">
        <v>158</v>
      </c>
      <c r="H4" s="15" t="s">
        <v>159</v>
      </c>
    </row>
    <row r="5" spans="1:8" ht="31.5" customHeight="1" x14ac:dyDescent="0.3">
      <c r="A5" s="24" t="s">
        <v>160</v>
      </c>
      <c r="B5" s="24" t="s">
        <v>161</v>
      </c>
      <c r="C5" s="25" t="s">
        <v>162</v>
      </c>
      <c r="D5" s="24" t="s">
        <v>163</v>
      </c>
      <c r="E5" s="24" t="s">
        <v>164</v>
      </c>
      <c r="F5" s="24" t="s">
        <v>165</v>
      </c>
      <c r="G5" s="31" t="s">
        <v>166</v>
      </c>
      <c r="H5" s="32" t="s">
        <v>167</v>
      </c>
    </row>
    <row r="6" spans="1:8" ht="31.5" customHeight="1" x14ac:dyDescent="0.3">
      <c r="A6" s="28" t="s">
        <v>168</v>
      </c>
      <c r="B6" s="28" t="s">
        <v>161</v>
      </c>
      <c r="C6" s="29" t="s">
        <v>169</v>
      </c>
      <c r="D6" s="28" t="s">
        <v>170</v>
      </c>
      <c r="E6" s="28" t="s">
        <v>171</v>
      </c>
      <c r="F6" s="28" t="s">
        <v>172</v>
      </c>
      <c r="G6" s="33" t="s">
        <v>173</v>
      </c>
      <c r="H6" s="34" t="s">
        <v>174</v>
      </c>
    </row>
    <row r="7" spans="1:8" ht="31.5" customHeight="1" x14ac:dyDescent="0.3">
      <c r="A7" s="35" t="s">
        <v>175</v>
      </c>
      <c r="B7" s="35" t="s">
        <v>176</v>
      </c>
      <c r="C7" s="25" t="s">
        <v>177</v>
      </c>
      <c r="D7" s="35" t="s">
        <v>170</v>
      </c>
      <c r="E7" s="35" t="s">
        <v>178</v>
      </c>
      <c r="F7" s="35" t="s">
        <v>179</v>
      </c>
      <c r="G7" s="35" t="s">
        <v>180</v>
      </c>
      <c r="H7" s="35" t="s">
        <v>181</v>
      </c>
    </row>
    <row r="8" spans="1:8" ht="31.5" customHeight="1" x14ac:dyDescent="0.3">
      <c r="A8" s="28" t="s">
        <v>182</v>
      </c>
      <c r="B8" s="28" t="s">
        <v>161</v>
      </c>
      <c r="C8" s="29" t="s">
        <v>183</v>
      </c>
      <c r="D8" s="28" t="s">
        <v>184</v>
      </c>
      <c r="E8" s="28" t="s">
        <v>185</v>
      </c>
      <c r="F8" s="28" t="s">
        <v>186</v>
      </c>
      <c r="G8" s="33" t="s">
        <v>187</v>
      </c>
      <c r="H8" s="28" t="s">
        <v>188</v>
      </c>
    </row>
    <row r="9" spans="1:8" ht="31.5" customHeight="1" x14ac:dyDescent="0.3">
      <c r="A9" s="24" t="s">
        <v>189</v>
      </c>
      <c r="B9" s="24" t="s">
        <v>161</v>
      </c>
      <c r="C9" s="25" t="s">
        <v>190</v>
      </c>
      <c r="D9" s="24" t="s">
        <v>191</v>
      </c>
      <c r="E9" s="24" t="s">
        <v>192</v>
      </c>
      <c r="F9" s="24" t="s">
        <v>193</v>
      </c>
      <c r="G9" s="35" t="s">
        <v>194</v>
      </c>
      <c r="H9" s="24" t="s">
        <v>195</v>
      </c>
    </row>
    <row r="10" spans="1:8" ht="31.5" customHeight="1" x14ac:dyDescent="0.3">
      <c r="A10" s="36" t="s">
        <v>196</v>
      </c>
      <c r="B10" s="36" t="s">
        <v>197</v>
      </c>
      <c r="C10" s="29" t="s">
        <v>198</v>
      </c>
      <c r="D10" s="36" t="s">
        <v>199</v>
      </c>
      <c r="E10" s="36" t="s">
        <v>200</v>
      </c>
      <c r="F10" s="36" t="s">
        <v>201</v>
      </c>
      <c r="G10" s="36" t="s">
        <v>202</v>
      </c>
      <c r="H10" s="36" t="s">
        <v>203</v>
      </c>
    </row>
    <row r="11" spans="1:8" ht="31.5" customHeight="1" x14ac:dyDescent="0.3">
      <c r="A11" s="35" t="s">
        <v>204</v>
      </c>
      <c r="B11" s="35" t="s">
        <v>197</v>
      </c>
      <c r="C11" s="25" t="s">
        <v>205</v>
      </c>
      <c r="D11" s="35" t="s">
        <v>206</v>
      </c>
      <c r="E11" s="35" t="s">
        <v>207</v>
      </c>
      <c r="F11" s="35" t="s">
        <v>208</v>
      </c>
      <c r="G11" s="35" t="s">
        <v>180</v>
      </c>
      <c r="H11" s="35" t="s">
        <v>209</v>
      </c>
    </row>
    <row r="12" spans="1:8" ht="31.5" customHeight="1" x14ac:dyDescent="0.3">
      <c r="A12" s="28" t="s">
        <v>210</v>
      </c>
      <c r="B12" s="28" t="s">
        <v>197</v>
      </c>
      <c r="C12" s="29" t="s">
        <v>211</v>
      </c>
      <c r="D12" s="28" t="s">
        <v>212</v>
      </c>
      <c r="E12" s="28" t="s">
        <v>213</v>
      </c>
      <c r="F12" s="28" t="s">
        <v>214</v>
      </c>
      <c r="G12" s="28" t="s">
        <v>215</v>
      </c>
      <c r="H12" s="28" t="s">
        <v>216</v>
      </c>
    </row>
    <row r="13" spans="1:8" ht="31.5" customHeight="1" x14ac:dyDescent="0.3">
      <c r="A13" s="35" t="s">
        <v>217</v>
      </c>
      <c r="B13" s="35" t="s">
        <v>218</v>
      </c>
      <c r="C13" s="25" t="s">
        <v>219</v>
      </c>
      <c r="D13" s="35" t="s">
        <v>170</v>
      </c>
      <c r="E13" s="35" t="s">
        <v>220</v>
      </c>
      <c r="F13" s="35" t="s">
        <v>221</v>
      </c>
      <c r="G13" s="35" t="s">
        <v>222</v>
      </c>
      <c r="H13" s="35" t="s">
        <v>223</v>
      </c>
    </row>
    <row r="14" spans="1:8" ht="31.5" customHeight="1" x14ac:dyDescent="0.3">
      <c r="A14" s="28" t="s">
        <v>224</v>
      </c>
      <c r="B14" s="28" t="s">
        <v>225</v>
      </c>
      <c r="C14" s="29" t="s">
        <v>226</v>
      </c>
      <c r="D14" s="28" t="s">
        <v>227</v>
      </c>
      <c r="E14" s="28" t="s">
        <v>228</v>
      </c>
      <c r="F14" s="28" t="s">
        <v>229</v>
      </c>
      <c r="G14" s="28" t="s">
        <v>230</v>
      </c>
      <c r="H14" s="28" t="s">
        <v>231</v>
      </c>
    </row>
    <row r="15" spans="1:8" ht="31.5" customHeight="1" x14ac:dyDescent="0.3">
      <c r="A15" s="24" t="s">
        <v>232</v>
      </c>
      <c r="B15" s="24" t="s">
        <v>225</v>
      </c>
      <c r="C15" s="25" t="s">
        <v>233</v>
      </c>
      <c r="D15" s="24" t="s">
        <v>234</v>
      </c>
      <c r="E15" s="24" t="s">
        <v>235</v>
      </c>
      <c r="F15" s="24" t="s">
        <v>236</v>
      </c>
      <c r="G15" s="24" t="s">
        <v>237</v>
      </c>
      <c r="H15" s="24" t="s">
        <v>238</v>
      </c>
    </row>
    <row r="16" spans="1:8" ht="31.5" customHeight="1" x14ac:dyDescent="0.3">
      <c r="A16" s="28" t="s">
        <v>239</v>
      </c>
      <c r="B16" s="28" t="s">
        <v>161</v>
      </c>
      <c r="C16" s="29" t="s">
        <v>240</v>
      </c>
      <c r="D16" s="28" t="s">
        <v>241</v>
      </c>
      <c r="E16" s="28" t="s">
        <v>242</v>
      </c>
      <c r="F16" s="28" t="s">
        <v>243</v>
      </c>
      <c r="G16" s="33" t="s">
        <v>244</v>
      </c>
      <c r="H16" s="28" t="s">
        <v>245</v>
      </c>
    </row>
    <row r="17" spans="1:8" ht="31.5" customHeight="1" x14ac:dyDescent="0.3">
      <c r="A17" s="24" t="s">
        <v>246</v>
      </c>
      <c r="B17" s="24" t="s">
        <v>161</v>
      </c>
      <c r="C17" s="25" t="s">
        <v>247</v>
      </c>
      <c r="D17" s="24" t="s">
        <v>248</v>
      </c>
      <c r="E17" s="24" t="s">
        <v>249</v>
      </c>
      <c r="F17" s="24" t="s">
        <v>243</v>
      </c>
      <c r="G17" s="31" t="s">
        <v>250</v>
      </c>
      <c r="H17" s="24" t="s">
        <v>251</v>
      </c>
    </row>
    <row r="18" spans="1:8" ht="31.5" customHeight="1" x14ac:dyDescent="0.3">
      <c r="A18" s="28" t="s">
        <v>252</v>
      </c>
      <c r="B18" s="28" t="s">
        <v>197</v>
      </c>
      <c r="C18" s="29" t="s">
        <v>253</v>
      </c>
      <c r="D18" s="28" t="s">
        <v>254</v>
      </c>
      <c r="E18" s="28" t="s">
        <v>255</v>
      </c>
      <c r="F18" s="28" t="s">
        <v>256</v>
      </c>
      <c r="G18" s="33" t="s">
        <v>250</v>
      </c>
      <c r="H18" s="28" t="s">
        <v>257</v>
      </c>
    </row>
    <row r="19" spans="1:8" ht="31.5" customHeight="1" x14ac:dyDescent="0.3">
      <c r="A19" s="24" t="s">
        <v>258</v>
      </c>
      <c r="B19" s="24" t="s">
        <v>197</v>
      </c>
      <c r="C19" s="25" t="s">
        <v>259</v>
      </c>
      <c r="D19" s="24" t="s">
        <v>260</v>
      </c>
      <c r="E19" s="24" t="s">
        <v>261</v>
      </c>
      <c r="F19" s="24" t="s">
        <v>262</v>
      </c>
      <c r="G19" s="31" t="s">
        <v>263</v>
      </c>
      <c r="H19" s="24" t="s">
        <v>264</v>
      </c>
    </row>
    <row r="20" spans="1:8" ht="31.5" customHeight="1" x14ac:dyDescent="0.3">
      <c r="A20" s="28" t="s">
        <v>265</v>
      </c>
      <c r="B20" s="28" t="s">
        <v>161</v>
      </c>
      <c r="C20" s="29" t="s">
        <v>266</v>
      </c>
      <c r="D20" s="28" t="s">
        <v>227</v>
      </c>
      <c r="E20" s="28" t="s">
        <v>267</v>
      </c>
      <c r="F20" s="28" t="s">
        <v>268</v>
      </c>
      <c r="G20" s="36" t="s">
        <v>194</v>
      </c>
      <c r="H20" s="28" t="s">
        <v>269</v>
      </c>
    </row>
    <row r="21" spans="1:8" ht="31.5" customHeight="1" x14ac:dyDescent="0.3">
      <c r="A21" s="24" t="s">
        <v>270</v>
      </c>
      <c r="B21" s="24" t="s">
        <v>271</v>
      </c>
      <c r="C21" s="25" t="s">
        <v>272</v>
      </c>
      <c r="D21" s="24" t="s">
        <v>273</v>
      </c>
      <c r="E21" s="24" t="s">
        <v>274</v>
      </c>
      <c r="F21" s="24" t="s">
        <v>275</v>
      </c>
      <c r="G21" s="35" t="s">
        <v>194</v>
      </c>
      <c r="H21" s="24" t="s">
        <v>276</v>
      </c>
    </row>
    <row r="22" spans="1:8" ht="31.5" customHeight="1" x14ac:dyDescent="0.3">
      <c r="A22" s="28" t="s">
        <v>277</v>
      </c>
      <c r="B22" s="28" t="s">
        <v>278</v>
      </c>
      <c r="C22" s="29" t="s">
        <v>279</v>
      </c>
      <c r="D22" s="28" t="s">
        <v>170</v>
      </c>
      <c r="E22" s="28" t="s">
        <v>280</v>
      </c>
      <c r="F22" s="28" t="s">
        <v>281</v>
      </c>
      <c r="G22" s="36" t="s">
        <v>194</v>
      </c>
      <c r="H22" s="28" t="s">
        <v>282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H1"/>
    </sheetView>
  </sheetViews>
  <sheetFormatPr defaultColWidth="8.6640625" defaultRowHeight="14.4" x14ac:dyDescent="0.3"/>
  <cols>
    <col min="1" max="1" width="28" customWidth="1"/>
    <col min="2" max="2" width="18" customWidth="1"/>
    <col min="3" max="4" width="20" customWidth="1"/>
    <col min="5" max="5" width="16" customWidth="1"/>
    <col min="6" max="7" width="20" customWidth="1"/>
    <col min="8" max="8" width="16" customWidth="1"/>
  </cols>
  <sheetData>
    <row r="1" spans="1:8" ht="54.75" customHeight="1" x14ac:dyDescent="0.3">
      <c r="A1" s="14" t="s">
        <v>283</v>
      </c>
      <c r="B1" s="14"/>
      <c r="C1" s="14"/>
      <c r="D1" s="14"/>
      <c r="E1" s="14"/>
      <c r="F1" s="14"/>
      <c r="G1" s="14"/>
      <c r="H1" s="14"/>
    </row>
    <row r="2" spans="1:8" ht="24.75" customHeight="1" x14ac:dyDescent="0.3">
      <c r="A2" s="13" t="s">
        <v>284</v>
      </c>
      <c r="B2" s="13"/>
      <c r="C2" s="13"/>
      <c r="D2" s="13"/>
      <c r="E2" s="13"/>
      <c r="F2" s="13"/>
      <c r="G2" s="13"/>
      <c r="H2" s="13"/>
    </row>
    <row r="4" spans="1:8" ht="15" customHeight="1" x14ac:dyDescent="0.3">
      <c r="A4" s="2" t="s">
        <v>285</v>
      </c>
      <c r="B4" s="2"/>
      <c r="C4" s="2"/>
      <c r="D4" s="2"/>
      <c r="E4" s="2"/>
      <c r="F4" s="2"/>
      <c r="G4" s="2"/>
      <c r="H4" s="2"/>
    </row>
    <row r="5" spans="1:8" ht="15" customHeight="1" x14ac:dyDescent="0.3">
      <c r="A5" s="37" t="s">
        <v>286</v>
      </c>
      <c r="B5" s="37" t="s">
        <v>287</v>
      </c>
      <c r="C5" s="37" t="s">
        <v>288</v>
      </c>
      <c r="D5" s="37" t="s">
        <v>289</v>
      </c>
      <c r="E5" s="37" t="s">
        <v>290</v>
      </c>
      <c r="F5" s="37" t="s">
        <v>291</v>
      </c>
      <c r="G5" s="37" t="s">
        <v>292</v>
      </c>
      <c r="H5" s="37" t="s">
        <v>293</v>
      </c>
    </row>
    <row r="6" spans="1:8" ht="21.75" customHeight="1" x14ac:dyDescent="0.3">
      <c r="A6" s="28" t="s">
        <v>294</v>
      </c>
      <c r="B6" s="38">
        <v>9533490</v>
      </c>
      <c r="C6" s="38">
        <v>9533490</v>
      </c>
      <c r="D6" s="39">
        <f t="shared" ref="D6:D11" si="0">C6-B6</f>
        <v>0</v>
      </c>
      <c r="E6" s="28" t="s">
        <v>295</v>
      </c>
      <c r="F6" s="28" t="s">
        <v>296</v>
      </c>
      <c r="G6" s="40" t="str">
        <f>IF(D6=0,"✅ MATCH","⚠ DIFF")</f>
        <v>✅ MATCH</v>
      </c>
      <c r="H6" s="28" t="s">
        <v>297</v>
      </c>
    </row>
    <row r="7" spans="1:8" ht="21.75" customHeight="1" x14ac:dyDescent="0.3">
      <c r="A7" s="24" t="s">
        <v>298</v>
      </c>
      <c r="B7" s="41">
        <v>532915</v>
      </c>
      <c r="C7" s="41">
        <v>532733</v>
      </c>
      <c r="D7" s="39">
        <f t="shared" si="0"/>
        <v>-182</v>
      </c>
      <c r="E7" s="24" t="s">
        <v>295</v>
      </c>
      <c r="F7" s="24" t="s">
        <v>299</v>
      </c>
      <c r="G7" s="40" t="str">
        <f>IF(D7=0,"✅ MATCH","⚠ DIFF")</f>
        <v>⚠ DIFF</v>
      </c>
      <c r="H7" s="24" t="s">
        <v>300</v>
      </c>
    </row>
    <row r="8" spans="1:8" ht="21.75" customHeight="1" x14ac:dyDescent="0.3">
      <c r="A8" s="28" t="s">
        <v>301</v>
      </c>
      <c r="B8" s="42">
        <v>13.395899999999999</v>
      </c>
      <c r="C8" s="42">
        <v>13.395799999999999</v>
      </c>
      <c r="D8" s="39">
        <f t="shared" si="0"/>
        <v>-9.9999999999766942E-5</v>
      </c>
      <c r="E8" s="28" t="s">
        <v>302</v>
      </c>
      <c r="F8" s="28" t="s">
        <v>303</v>
      </c>
      <c r="G8" s="40" t="str">
        <f>IF(ABS(D8)&lt;0.001,"✅ MATCH","⚠ DIFF")</f>
        <v>✅ MATCH</v>
      </c>
      <c r="H8" s="28" t="s">
        <v>304</v>
      </c>
    </row>
    <row r="9" spans="1:8" ht="21.75" customHeight="1" x14ac:dyDescent="0.3">
      <c r="A9" s="24" t="s">
        <v>305</v>
      </c>
      <c r="B9" s="41">
        <v>127709679</v>
      </c>
      <c r="C9" s="41">
        <v>127708725</v>
      </c>
      <c r="D9" s="43">
        <f t="shared" si="0"/>
        <v>-954</v>
      </c>
      <c r="E9" s="24" t="s">
        <v>306</v>
      </c>
      <c r="F9" s="24" t="s">
        <v>307</v>
      </c>
      <c r="G9" s="40" t="str">
        <f>IF(D9=0,"✅ MATCH","⚠ DIFF")</f>
        <v>⚠ DIFF</v>
      </c>
      <c r="H9" s="24" t="s">
        <v>308</v>
      </c>
    </row>
    <row r="10" spans="1:8" ht="21.75" customHeight="1" x14ac:dyDescent="0.3">
      <c r="A10" s="28" t="s">
        <v>309</v>
      </c>
      <c r="B10" s="38">
        <v>7138876</v>
      </c>
      <c r="C10" s="38">
        <v>7136385</v>
      </c>
      <c r="D10" s="43">
        <f t="shared" si="0"/>
        <v>-2491</v>
      </c>
      <c r="E10" s="28" t="s">
        <v>310</v>
      </c>
      <c r="F10" s="28" t="s">
        <v>311</v>
      </c>
      <c r="G10" s="40" t="str">
        <f>IF(D10=0,"✅ MATCH","⚠ DIFF")</f>
        <v>⚠ DIFF</v>
      </c>
      <c r="H10" s="28" t="s">
        <v>312</v>
      </c>
    </row>
    <row r="11" spans="1:8" ht="21.75" customHeight="1" x14ac:dyDescent="0.3">
      <c r="A11" s="24" t="s">
        <v>313</v>
      </c>
      <c r="B11" s="41">
        <v>134848555</v>
      </c>
      <c r="C11" s="41">
        <v>134845110</v>
      </c>
      <c r="D11" s="43">
        <f t="shared" si="0"/>
        <v>-3445</v>
      </c>
      <c r="E11" s="24" t="s">
        <v>314</v>
      </c>
      <c r="F11" s="24" t="s">
        <v>315</v>
      </c>
      <c r="G11" s="40" t="str">
        <f>IF(D11=0,"✅ MATCH","⚠ DIFF")</f>
        <v>⚠ DIFF</v>
      </c>
      <c r="H11" s="24">
        <f>B9+B10</f>
        <v>134848555</v>
      </c>
    </row>
    <row r="12" spans="1:8" ht="15" customHeight="1" x14ac:dyDescent="0.3">
      <c r="A12" s="22"/>
      <c r="B12" s="22"/>
      <c r="C12" s="22"/>
      <c r="D12" s="22"/>
      <c r="E12" s="22"/>
      <c r="F12" s="22"/>
      <c r="G12" s="22"/>
      <c r="H12" s="22"/>
    </row>
    <row r="13" spans="1:8" ht="15" customHeight="1" x14ac:dyDescent="0.3">
      <c r="A13" s="12" t="s">
        <v>316</v>
      </c>
      <c r="B13" s="12"/>
      <c r="C13" s="12"/>
      <c r="D13" s="12"/>
      <c r="E13" s="12"/>
      <c r="F13" s="12"/>
      <c r="G13" s="12"/>
      <c r="H13" s="12"/>
    </row>
    <row r="14" spans="1:8" ht="15" customHeight="1" x14ac:dyDescent="0.3">
      <c r="A14" s="37" t="s">
        <v>317</v>
      </c>
      <c r="B14" s="37" t="s">
        <v>5</v>
      </c>
      <c r="C14" s="37" t="s">
        <v>318</v>
      </c>
      <c r="D14" s="37" t="s">
        <v>319</v>
      </c>
      <c r="E14" s="37" t="s">
        <v>153</v>
      </c>
      <c r="F14" s="37" t="s">
        <v>155</v>
      </c>
      <c r="G14" s="37" t="s">
        <v>159</v>
      </c>
      <c r="H14" s="37" t="s">
        <v>320</v>
      </c>
    </row>
    <row r="15" spans="1:8" ht="21.75" customHeight="1" x14ac:dyDescent="0.3">
      <c r="A15" s="44" t="s">
        <v>321</v>
      </c>
      <c r="B15" s="24" t="s">
        <v>322</v>
      </c>
      <c r="C15" s="41">
        <v>127709679</v>
      </c>
      <c r="D15" s="45">
        <v>127708725</v>
      </c>
      <c r="E15" s="46" t="s">
        <v>307</v>
      </c>
      <c r="F15" s="47">
        <v>0.18</v>
      </c>
      <c r="G15" s="48">
        <f>C15*F15</f>
        <v>22987742.219999999</v>
      </c>
      <c r="H15" s="46" t="s">
        <v>323</v>
      </c>
    </row>
    <row r="16" spans="1:8" ht="21.75" customHeight="1" x14ac:dyDescent="0.3">
      <c r="A16" s="49" t="s">
        <v>324</v>
      </c>
      <c r="B16" s="28" t="s">
        <v>325</v>
      </c>
      <c r="C16" s="38">
        <v>22987742</v>
      </c>
      <c r="D16" s="50">
        <v>22987571</v>
      </c>
      <c r="E16" s="51" t="s">
        <v>307</v>
      </c>
      <c r="F16" s="47">
        <v>0.18</v>
      </c>
      <c r="G16" s="52">
        <f>C16*F16</f>
        <v>4137793.56</v>
      </c>
      <c r="H16" s="51" t="s">
        <v>326</v>
      </c>
    </row>
    <row r="17" spans="1:8" ht="21.75" customHeight="1" x14ac:dyDescent="0.3">
      <c r="A17" s="44" t="s">
        <v>327</v>
      </c>
      <c r="B17" s="24" t="s">
        <v>328</v>
      </c>
      <c r="C17" s="41">
        <v>0</v>
      </c>
      <c r="D17" s="45">
        <v>0</v>
      </c>
      <c r="E17" s="46" t="s">
        <v>329</v>
      </c>
      <c r="F17" s="53">
        <v>0</v>
      </c>
      <c r="G17" s="48">
        <f>0</f>
        <v>0</v>
      </c>
      <c r="H17" s="46" t="s">
        <v>330</v>
      </c>
    </row>
    <row r="18" spans="1:8" ht="21.75" customHeight="1" x14ac:dyDescent="0.3">
      <c r="A18" s="49" t="s">
        <v>331</v>
      </c>
      <c r="B18" s="28" t="s">
        <v>332</v>
      </c>
      <c r="C18" s="38">
        <v>4797262</v>
      </c>
      <c r="D18" s="50">
        <v>4797262</v>
      </c>
      <c r="E18" s="51" t="s">
        <v>333</v>
      </c>
      <c r="F18" s="54">
        <v>0</v>
      </c>
      <c r="G18" s="52">
        <f>0</f>
        <v>0</v>
      </c>
      <c r="H18" s="51" t="s">
        <v>334</v>
      </c>
    </row>
    <row r="19" spans="1:8" ht="21.75" customHeight="1" x14ac:dyDescent="0.3">
      <c r="A19" s="44" t="s">
        <v>335</v>
      </c>
      <c r="B19" s="24" t="s">
        <v>336</v>
      </c>
      <c r="C19" s="41">
        <v>2583448</v>
      </c>
      <c r="D19" s="45">
        <v>2583448</v>
      </c>
      <c r="E19" s="46" t="s">
        <v>333</v>
      </c>
      <c r="F19" s="53">
        <v>0</v>
      </c>
      <c r="G19" s="48">
        <f>C16-C18</f>
        <v>18190480</v>
      </c>
      <c r="H19" s="46" t="s">
        <v>337</v>
      </c>
    </row>
    <row r="20" spans="1:8" ht="21.75" customHeight="1" x14ac:dyDescent="0.3">
      <c r="A20" s="55" t="s">
        <v>338</v>
      </c>
      <c r="B20" s="56" t="s">
        <v>339</v>
      </c>
      <c r="C20" s="57">
        <v>157836297</v>
      </c>
      <c r="D20" s="58">
        <v>157831682</v>
      </c>
      <c r="E20" s="59" t="s">
        <v>315</v>
      </c>
      <c r="F20" s="47">
        <v>0.18</v>
      </c>
      <c r="G20" s="60">
        <f>C11+C16</f>
        <v>157832852</v>
      </c>
      <c r="H20" s="61" t="s">
        <v>340</v>
      </c>
    </row>
    <row r="21" spans="1:8" ht="15" customHeight="1" x14ac:dyDescent="0.3">
      <c r="A21" s="22"/>
      <c r="B21" s="22"/>
      <c r="C21" s="22"/>
      <c r="D21" s="22"/>
      <c r="E21" s="22"/>
      <c r="F21" s="22"/>
      <c r="G21" s="22"/>
      <c r="H21" s="22"/>
    </row>
    <row r="22" spans="1:8" ht="15" customHeight="1" x14ac:dyDescent="0.3">
      <c r="A22" s="1" t="s">
        <v>341</v>
      </c>
      <c r="B22" s="1"/>
      <c r="C22" s="1"/>
      <c r="D22" s="1"/>
      <c r="E22" s="1"/>
      <c r="F22" s="1"/>
      <c r="G22" s="1"/>
      <c r="H22" s="1"/>
    </row>
    <row r="23" spans="1:8" ht="15" customHeight="1" x14ac:dyDescent="0.3">
      <c r="A23" s="37" t="s">
        <v>152</v>
      </c>
      <c r="B23" s="37" t="s">
        <v>153</v>
      </c>
      <c r="C23" s="37" t="s">
        <v>154</v>
      </c>
      <c r="D23" s="37" t="s">
        <v>155</v>
      </c>
      <c r="E23" s="37" t="s">
        <v>342</v>
      </c>
      <c r="F23" s="37" t="s">
        <v>343</v>
      </c>
      <c r="G23" s="37" t="s">
        <v>344</v>
      </c>
      <c r="H23" s="37" t="s">
        <v>345</v>
      </c>
    </row>
    <row r="24" spans="1:8" ht="21.75" customHeight="1" x14ac:dyDescent="0.3">
      <c r="A24" s="62" t="s">
        <v>346</v>
      </c>
      <c r="B24" s="63" t="s">
        <v>197</v>
      </c>
      <c r="C24" s="64" t="s">
        <v>198</v>
      </c>
      <c r="D24" s="64" t="s">
        <v>170</v>
      </c>
      <c r="E24" s="65">
        <v>134848555</v>
      </c>
      <c r="F24" s="66">
        <v>0</v>
      </c>
      <c r="G24" s="67" t="s">
        <v>180</v>
      </c>
      <c r="H24" s="63" t="s">
        <v>347</v>
      </c>
    </row>
    <row r="25" spans="1:8" ht="21.75" customHeight="1" x14ac:dyDescent="0.3">
      <c r="A25" s="62" t="s">
        <v>348</v>
      </c>
      <c r="B25" s="63" t="s">
        <v>197</v>
      </c>
      <c r="C25" s="64" t="s">
        <v>205</v>
      </c>
      <c r="D25" s="64" t="s">
        <v>170</v>
      </c>
      <c r="E25" s="65">
        <v>134848555</v>
      </c>
      <c r="F25" s="66">
        <v>0</v>
      </c>
      <c r="G25" s="67" t="s">
        <v>180</v>
      </c>
      <c r="H25" s="63" t="s">
        <v>347</v>
      </c>
    </row>
    <row r="26" spans="1:8" ht="21.75" customHeight="1" x14ac:dyDescent="0.3">
      <c r="A26" s="68" t="s">
        <v>349</v>
      </c>
      <c r="B26" s="69" t="s">
        <v>197</v>
      </c>
      <c r="C26" s="70" t="s">
        <v>253</v>
      </c>
      <c r="D26" s="70" t="s">
        <v>254</v>
      </c>
      <c r="E26" s="71" t="s">
        <v>350</v>
      </c>
      <c r="F26" s="72">
        <v>1685606.9375</v>
      </c>
      <c r="G26" s="73" t="s">
        <v>351</v>
      </c>
      <c r="H26" s="69" t="s">
        <v>352</v>
      </c>
    </row>
    <row r="27" spans="1:8" ht="21.75" customHeight="1" x14ac:dyDescent="0.3">
      <c r="A27" s="68" t="s">
        <v>353</v>
      </c>
      <c r="B27" s="69" t="s">
        <v>197</v>
      </c>
      <c r="C27" s="70" t="s">
        <v>259</v>
      </c>
      <c r="D27" s="70" t="s">
        <v>260</v>
      </c>
      <c r="E27" s="71" t="s">
        <v>354</v>
      </c>
      <c r="F27" s="74" t="s">
        <v>355</v>
      </c>
      <c r="G27" s="73" t="s">
        <v>356</v>
      </c>
      <c r="H27" s="69" t="s">
        <v>357</v>
      </c>
    </row>
    <row r="28" spans="1:8" ht="21.75" customHeight="1" x14ac:dyDescent="0.3">
      <c r="A28" s="62" t="s">
        <v>217</v>
      </c>
      <c r="B28" s="63" t="s">
        <v>218</v>
      </c>
      <c r="C28" s="64" t="s">
        <v>219</v>
      </c>
      <c r="D28" s="64" t="s">
        <v>170</v>
      </c>
      <c r="E28" s="65">
        <v>134848555</v>
      </c>
      <c r="F28" s="66">
        <v>0</v>
      </c>
      <c r="G28" s="67" t="s">
        <v>180</v>
      </c>
      <c r="H28" s="63" t="s">
        <v>358</v>
      </c>
    </row>
    <row r="29" spans="1:8" ht="21.75" customHeight="1" x14ac:dyDescent="0.3">
      <c r="A29" s="27" t="s">
        <v>224</v>
      </c>
      <c r="B29" s="51" t="s">
        <v>225</v>
      </c>
      <c r="C29" s="75" t="s">
        <v>359</v>
      </c>
      <c r="D29" s="75" t="s">
        <v>227</v>
      </c>
      <c r="E29" s="76" t="s">
        <v>360</v>
      </c>
      <c r="F29" s="77" t="s">
        <v>361</v>
      </c>
      <c r="G29" s="78" t="s">
        <v>362</v>
      </c>
      <c r="H29" s="51" t="s">
        <v>363</v>
      </c>
    </row>
    <row r="30" spans="1:8" ht="21.75" customHeight="1" x14ac:dyDescent="0.3">
      <c r="A30" s="62" t="s">
        <v>364</v>
      </c>
      <c r="B30" s="63" t="s">
        <v>161</v>
      </c>
      <c r="C30" s="64" t="s">
        <v>240</v>
      </c>
      <c r="D30" s="64" t="s">
        <v>241</v>
      </c>
      <c r="E30" s="79" t="s">
        <v>365</v>
      </c>
      <c r="F30" s="66">
        <v>0</v>
      </c>
      <c r="G30" s="67" t="s">
        <v>366</v>
      </c>
      <c r="H30" s="63" t="s">
        <v>367</v>
      </c>
    </row>
    <row r="31" spans="1:8" ht="21.75" customHeight="1" x14ac:dyDescent="0.3">
      <c r="A31" s="62" t="s">
        <v>246</v>
      </c>
      <c r="B31" s="63" t="s">
        <v>161</v>
      </c>
      <c r="C31" s="64" t="s">
        <v>247</v>
      </c>
      <c r="D31" s="64" t="s">
        <v>368</v>
      </c>
      <c r="E31" s="79" t="s">
        <v>369</v>
      </c>
      <c r="F31" s="66">
        <v>0</v>
      </c>
      <c r="G31" s="67" t="s">
        <v>370</v>
      </c>
      <c r="H31" s="63" t="s">
        <v>371</v>
      </c>
    </row>
    <row r="32" spans="1:8" ht="21.75" customHeight="1" x14ac:dyDescent="0.3">
      <c r="A32" s="62" t="s">
        <v>270</v>
      </c>
      <c r="B32" s="63" t="s">
        <v>372</v>
      </c>
      <c r="C32" s="64" t="s">
        <v>373</v>
      </c>
      <c r="D32" s="64" t="s">
        <v>170</v>
      </c>
      <c r="E32" s="79" t="s">
        <v>374</v>
      </c>
      <c r="F32" s="66">
        <v>0</v>
      </c>
      <c r="G32" s="67" t="s">
        <v>180</v>
      </c>
      <c r="H32" s="63" t="s">
        <v>375</v>
      </c>
    </row>
    <row r="33" spans="1:8" ht="21.75" customHeight="1" x14ac:dyDescent="0.3">
      <c r="A33" s="62" t="s">
        <v>277</v>
      </c>
      <c r="B33" s="63" t="s">
        <v>278</v>
      </c>
      <c r="C33" s="64" t="s">
        <v>279</v>
      </c>
      <c r="D33" s="64" t="s">
        <v>170</v>
      </c>
      <c r="E33" s="79" t="s">
        <v>355</v>
      </c>
      <c r="F33" s="66">
        <v>0</v>
      </c>
      <c r="G33" s="67" t="s">
        <v>180</v>
      </c>
      <c r="H33" s="63" t="s">
        <v>376</v>
      </c>
    </row>
    <row r="34" spans="1:8" ht="21.75" customHeight="1" x14ac:dyDescent="0.3">
      <c r="A34" s="62" t="s">
        <v>377</v>
      </c>
      <c r="B34" s="63" t="s">
        <v>161</v>
      </c>
      <c r="C34" s="64" t="s">
        <v>190</v>
      </c>
      <c r="D34" s="64" t="s">
        <v>191</v>
      </c>
      <c r="E34" s="79" t="s">
        <v>378</v>
      </c>
      <c r="F34" s="66">
        <v>0</v>
      </c>
      <c r="G34" s="67" t="s">
        <v>379</v>
      </c>
      <c r="H34" s="63" t="s">
        <v>380</v>
      </c>
    </row>
    <row r="35" spans="1:8" ht="15" customHeight="1" x14ac:dyDescent="0.3">
      <c r="A35" s="22"/>
      <c r="B35" s="22"/>
      <c r="C35" s="22"/>
      <c r="D35" s="22"/>
      <c r="E35" s="22"/>
      <c r="F35" s="22"/>
      <c r="G35" s="22"/>
      <c r="H35" s="22"/>
    </row>
    <row r="36" spans="1:8" ht="15" customHeight="1" x14ac:dyDescent="0.3">
      <c r="A36" s="2" t="s">
        <v>381</v>
      </c>
      <c r="B36" s="2"/>
      <c r="C36" s="2"/>
      <c r="D36" s="2"/>
      <c r="E36" s="2"/>
      <c r="F36" s="2"/>
      <c r="G36" s="2"/>
      <c r="H36" s="2"/>
    </row>
    <row r="37" spans="1:8" ht="15" customHeight="1" x14ac:dyDescent="0.3">
      <c r="A37" s="37" t="s">
        <v>382</v>
      </c>
      <c r="B37" s="37" t="s">
        <v>383</v>
      </c>
      <c r="C37" s="37" t="s">
        <v>384</v>
      </c>
      <c r="D37" s="37" t="s">
        <v>385</v>
      </c>
      <c r="E37" s="37" t="s">
        <v>386</v>
      </c>
      <c r="F37" s="37" t="s">
        <v>387</v>
      </c>
      <c r="G37" s="37" t="s">
        <v>388</v>
      </c>
      <c r="H37" s="37" t="s">
        <v>389</v>
      </c>
    </row>
    <row r="38" spans="1:8" ht="19.5" customHeight="1" x14ac:dyDescent="0.3">
      <c r="A38" s="27" t="s">
        <v>390</v>
      </c>
      <c r="B38" s="80" t="s">
        <v>391</v>
      </c>
      <c r="C38" s="42">
        <v>1.0434000000000001</v>
      </c>
      <c r="D38" s="81">
        <v>1.04335</v>
      </c>
      <c r="E38" s="82">
        <v>-5.0000000000105502E-5</v>
      </c>
      <c r="F38" s="38">
        <v>10503287</v>
      </c>
      <c r="G38" s="50">
        <v>10502594</v>
      </c>
      <c r="H38" s="83">
        <v>-693</v>
      </c>
    </row>
    <row r="39" spans="1:8" ht="19.5" customHeight="1" x14ac:dyDescent="0.3">
      <c r="A39" s="23" t="s">
        <v>392</v>
      </c>
      <c r="B39" s="84" t="s">
        <v>391</v>
      </c>
      <c r="C39" s="85">
        <v>1.246</v>
      </c>
      <c r="D39" s="86">
        <v>1.246</v>
      </c>
      <c r="E39" s="87">
        <v>0</v>
      </c>
      <c r="F39" s="41">
        <v>12542741</v>
      </c>
      <c r="G39" s="45">
        <v>12542514</v>
      </c>
      <c r="H39" s="83">
        <v>-227</v>
      </c>
    </row>
    <row r="40" spans="1:8" ht="19.5" customHeight="1" x14ac:dyDescent="0.3">
      <c r="A40" s="27" t="s">
        <v>393</v>
      </c>
      <c r="B40" s="80" t="s">
        <v>391</v>
      </c>
      <c r="C40" s="42">
        <v>2.9710000000000001</v>
      </c>
      <c r="D40" s="81">
        <v>2.9710000000000001</v>
      </c>
      <c r="E40" s="87">
        <v>0</v>
      </c>
      <c r="F40" s="38">
        <v>29907289</v>
      </c>
      <c r="G40" s="50">
        <v>29906749</v>
      </c>
      <c r="H40" s="83">
        <v>-540</v>
      </c>
    </row>
    <row r="41" spans="1:8" ht="19.5" customHeight="1" x14ac:dyDescent="0.3">
      <c r="A41" s="23" t="s">
        <v>394</v>
      </c>
      <c r="B41" s="84" t="s">
        <v>391</v>
      </c>
      <c r="C41" s="85">
        <v>0.26769999999999999</v>
      </c>
      <c r="D41" s="86">
        <v>0.26765</v>
      </c>
      <c r="E41" s="82">
        <v>-4.99999999999945E-5</v>
      </c>
      <c r="F41" s="41">
        <v>2694776</v>
      </c>
      <c r="G41" s="45">
        <v>2694225</v>
      </c>
      <c r="H41" s="83">
        <v>-551</v>
      </c>
    </row>
    <row r="42" spans="1:8" ht="19.5" customHeight="1" x14ac:dyDescent="0.3">
      <c r="A42" s="27" t="s">
        <v>395</v>
      </c>
      <c r="B42" s="80" t="s">
        <v>391</v>
      </c>
      <c r="C42" s="42">
        <v>2.9472</v>
      </c>
      <c r="D42" s="81">
        <v>2.9472</v>
      </c>
      <c r="E42" s="87">
        <v>0</v>
      </c>
      <c r="F42" s="38">
        <v>29667709</v>
      </c>
      <c r="G42" s="50">
        <v>29667173</v>
      </c>
      <c r="H42" s="83">
        <v>-536</v>
      </c>
    </row>
    <row r="43" spans="1:8" ht="19.5" customHeight="1" x14ac:dyDescent="0.3">
      <c r="A43" s="23" t="s">
        <v>396</v>
      </c>
      <c r="B43" s="84" t="s">
        <v>391</v>
      </c>
      <c r="C43" s="85">
        <v>2.5535999999999999</v>
      </c>
      <c r="D43" s="86">
        <v>2.5535999999999999</v>
      </c>
      <c r="E43" s="87">
        <v>0</v>
      </c>
      <c r="F43" s="41">
        <v>25705572</v>
      </c>
      <c r="G43" s="45">
        <v>25705107</v>
      </c>
      <c r="H43" s="83">
        <v>-465</v>
      </c>
    </row>
    <row r="44" spans="1:8" ht="19.5" customHeight="1" x14ac:dyDescent="0.3">
      <c r="A44" s="27" t="s">
        <v>397</v>
      </c>
      <c r="B44" s="80" t="s">
        <v>391</v>
      </c>
      <c r="C44" s="42">
        <v>1.8154999999999999</v>
      </c>
      <c r="D44" s="81">
        <v>1.8154999999999999</v>
      </c>
      <c r="E44" s="87">
        <v>0</v>
      </c>
      <c r="F44" s="38">
        <v>18275558</v>
      </c>
      <c r="G44" s="50">
        <v>18275228</v>
      </c>
      <c r="H44" s="83">
        <v>-330</v>
      </c>
    </row>
    <row r="45" spans="1:8" ht="19.5" customHeight="1" x14ac:dyDescent="0.3">
      <c r="A45" s="23" t="s">
        <v>398</v>
      </c>
      <c r="B45" s="84" t="s">
        <v>391</v>
      </c>
      <c r="C45" s="85">
        <v>0.55149999999999999</v>
      </c>
      <c r="D45" s="86">
        <v>0.55149999999999999</v>
      </c>
      <c r="E45" s="87">
        <v>0</v>
      </c>
      <c r="F45" s="41">
        <v>5551623</v>
      </c>
      <c r="G45" s="45">
        <v>5551522</v>
      </c>
      <c r="H45" s="83">
        <v>-101</v>
      </c>
    </row>
    <row r="46" spans="1:8" ht="15" customHeight="1" x14ac:dyDescent="0.3">
      <c r="A46" s="88" t="s">
        <v>399</v>
      </c>
      <c r="B46" s="88"/>
      <c r="C46" s="89">
        <f>SUM(C38:C45)</f>
        <v>13.395900000000001</v>
      </c>
      <c r="D46" s="89">
        <f>SUM(D38:D45)</f>
        <v>13.395799999999999</v>
      </c>
      <c r="E46" s="89">
        <f>D46-C46</f>
        <v>-1.000000000015433E-4</v>
      </c>
      <c r="F46" s="90">
        <f>SUM(F38:F45)</f>
        <v>134848555</v>
      </c>
      <c r="G46" s="90">
        <f>SUM(G38:G45)</f>
        <v>134845112</v>
      </c>
      <c r="H46" s="90">
        <f>G46-F46</f>
        <v>-3443</v>
      </c>
    </row>
  </sheetData>
  <mergeCells count="6">
    <mergeCell ref="A36:H36"/>
    <mergeCell ref="A1:H1"/>
    <mergeCell ref="A2:H2"/>
    <mergeCell ref="A4:H4"/>
    <mergeCell ref="A13:H13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showGridLines="0" zoomScaleNormal="100"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C7" sqref="C7"/>
    </sheetView>
  </sheetViews>
  <sheetFormatPr defaultColWidth="8.6640625" defaultRowHeight="14.4" x14ac:dyDescent="0.3"/>
  <cols>
    <col min="1" max="1" width="28" customWidth="1"/>
    <col min="2" max="2" width="18" customWidth="1"/>
    <col min="3" max="4" width="20" customWidth="1"/>
    <col min="5" max="5" width="16" customWidth="1"/>
    <col min="6" max="7" width="22" customWidth="1"/>
    <col min="8" max="8" width="16" customWidth="1"/>
  </cols>
  <sheetData>
    <row r="1" spans="1:8" ht="54.75" customHeight="1" x14ac:dyDescent="0.3">
      <c r="A1" s="14" t="s">
        <v>400</v>
      </c>
      <c r="B1" s="14"/>
      <c r="C1" s="14"/>
      <c r="D1" s="14"/>
      <c r="E1" s="14"/>
      <c r="F1" s="14"/>
      <c r="G1" s="14"/>
      <c r="H1" s="14"/>
    </row>
    <row r="2" spans="1:8" ht="24.75" customHeight="1" x14ac:dyDescent="0.3">
      <c r="A2" s="13" t="s">
        <v>401</v>
      </c>
      <c r="B2" s="13"/>
      <c r="C2" s="13"/>
      <c r="D2" s="13"/>
      <c r="E2" s="13"/>
      <c r="F2" s="13"/>
      <c r="G2" s="13"/>
      <c r="H2" s="13"/>
    </row>
    <row r="4" spans="1:8" ht="15" customHeight="1" x14ac:dyDescent="0.3">
      <c r="A4" s="2" t="s">
        <v>402</v>
      </c>
      <c r="B4" s="2"/>
      <c r="C4" s="2"/>
      <c r="D4" s="2"/>
      <c r="E4" s="2"/>
      <c r="F4" s="2"/>
      <c r="G4" s="2"/>
      <c r="H4" s="2"/>
    </row>
    <row r="5" spans="1:8" ht="15" customHeight="1" x14ac:dyDescent="0.3">
      <c r="A5" s="37" t="s">
        <v>286</v>
      </c>
      <c r="B5" s="37" t="s">
        <v>403</v>
      </c>
      <c r="C5" s="37" t="s">
        <v>404</v>
      </c>
      <c r="D5" s="37" t="s">
        <v>289</v>
      </c>
      <c r="E5" s="37" t="s">
        <v>383</v>
      </c>
      <c r="F5" s="37" t="s">
        <v>153</v>
      </c>
      <c r="G5" s="37" t="s">
        <v>292</v>
      </c>
      <c r="H5" s="37" t="s">
        <v>293</v>
      </c>
    </row>
    <row r="6" spans="1:8" ht="21.75" customHeight="1" x14ac:dyDescent="0.3">
      <c r="A6" s="27" t="s">
        <v>405</v>
      </c>
      <c r="B6" s="38">
        <v>14889280</v>
      </c>
      <c r="C6" s="38">
        <v>14889280</v>
      </c>
      <c r="D6" s="91">
        <f t="shared" ref="D6:D11" si="0">C6-B6</f>
        <v>0</v>
      </c>
      <c r="E6" s="28" t="s">
        <v>406</v>
      </c>
      <c r="F6" s="28" t="s">
        <v>307</v>
      </c>
      <c r="G6" s="91" t="str">
        <f>IF(D6=0,"✅ MATCH","⚠ DIFF")</f>
        <v>✅ MATCH</v>
      </c>
      <c r="H6" s="28" t="s">
        <v>407</v>
      </c>
    </row>
    <row r="7" spans="1:8" ht="21.75" customHeight="1" x14ac:dyDescent="0.3">
      <c r="A7" s="23" t="s">
        <v>408</v>
      </c>
      <c r="B7" s="41">
        <v>221906</v>
      </c>
      <c r="C7" s="41">
        <v>185985</v>
      </c>
      <c r="D7" s="91">
        <f t="shared" si="0"/>
        <v>-35921</v>
      </c>
      <c r="E7" s="24" t="s">
        <v>406</v>
      </c>
      <c r="F7" s="24" t="s">
        <v>299</v>
      </c>
      <c r="G7" s="91" t="str">
        <f>IF(D7=0,"✅ MATCH","⚠ DIFF")</f>
        <v>⚠ DIFF</v>
      </c>
      <c r="H7" s="24" t="s">
        <v>409</v>
      </c>
    </row>
    <row r="8" spans="1:8" ht="21.75" customHeight="1" x14ac:dyDescent="0.3">
      <c r="A8" s="27" t="s">
        <v>410</v>
      </c>
      <c r="B8" s="42">
        <v>47.665199999999999</v>
      </c>
      <c r="C8" s="42">
        <v>47.665199999999999</v>
      </c>
      <c r="D8" s="91">
        <f t="shared" si="0"/>
        <v>0</v>
      </c>
      <c r="E8" s="28" t="s">
        <v>411</v>
      </c>
      <c r="F8" s="28" t="s">
        <v>412</v>
      </c>
      <c r="G8" s="91" t="str">
        <f>IF(ABS(D8)&lt;0.001,"✅ MATCH","⚠ DIFF")</f>
        <v>✅ MATCH</v>
      </c>
      <c r="H8" s="28" t="s">
        <v>413</v>
      </c>
    </row>
    <row r="9" spans="1:8" ht="21.75" customHeight="1" x14ac:dyDescent="0.3">
      <c r="A9" s="23" t="s">
        <v>414</v>
      </c>
      <c r="B9" s="41">
        <v>709700509</v>
      </c>
      <c r="C9" s="41">
        <v>709700509</v>
      </c>
      <c r="D9" s="92">
        <f t="shared" si="0"/>
        <v>0</v>
      </c>
      <c r="E9" s="24" t="s">
        <v>306</v>
      </c>
      <c r="F9" s="24" t="s">
        <v>307</v>
      </c>
      <c r="G9" s="92" t="str">
        <f>IF(D9=0,"✅ MATCH","⚠ DIFF")</f>
        <v>✅ MATCH</v>
      </c>
      <c r="H9" s="93" t="s">
        <v>415</v>
      </c>
    </row>
    <row r="10" spans="1:8" ht="21.75" customHeight="1" x14ac:dyDescent="0.3">
      <c r="A10" s="27" t="s">
        <v>416</v>
      </c>
      <c r="B10" s="38">
        <v>10577186</v>
      </c>
      <c r="C10" s="38">
        <v>8865032</v>
      </c>
      <c r="D10" s="92">
        <f t="shared" si="0"/>
        <v>-1712154</v>
      </c>
      <c r="E10" s="28" t="s">
        <v>310</v>
      </c>
      <c r="F10" s="28" t="s">
        <v>417</v>
      </c>
      <c r="G10" s="92" t="str">
        <f>IF(D10=0,"✅ MATCH","⚠ DIFF")</f>
        <v>⚠ DIFF</v>
      </c>
      <c r="H10" s="28" t="s">
        <v>418</v>
      </c>
    </row>
    <row r="11" spans="1:8" ht="21.75" customHeight="1" x14ac:dyDescent="0.3">
      <c r="A11" s="23" t="s">
        <v>419</v>
      </c>
      <c r="B11" s="41">
        <v>720277695</v>
      </c>
      <c r="C11" s="41">
        <v>718565541</v>
      </c>
      <c r="D11" s="92">
        <f t="shared" si="0"/>
        <v>-1712154</v>
      </c>
      <c r="E11" s="24" t="s">
        <v>314</v>
      </c>
      <c r="F11" s="24" t="s">
        <v>315</v>
      </c>
      <c r="G11" s="92" t="str">
        <f>IF(D11=0,"✅ MATCH","⚠ DIFF")</f>
        <v>⚠ DIFF</v>
      </c>
      <c r="H11" s="92">
        <f>B9+B10</f>
        <v>720277695</v>
      </c>
    </row>
    <row r="12" spans="1:8" ht="15" customHeight="1" x14ac:dyDescent="0.3">
      <c r="A12" s="22"/>
      <c r="B12" s="22"/>
      <c r="C12" s="22"/>
      <c r="D12" s="22"/>
      <c r="E12" s="22"/>
      <c r="F12" s="22"/>
      <c r="G12" s="22"/>
      <c r="H12" s="22"/>
    </row>
    <row r="13" spans="1:8" ht="15" customHeight="1" x14ac:dyDescent="0.3">
      <c r="A13" s="12" t="s">
        <v>420</v>
      </c>
      <c r="B13" s="12"/>
      <c r="C13" s="12"/>
      <c r="D13" s="12"/>
      <c r="E13" s="12"/>
      <c r="F13" s="12"/>
      <c r="G13" s="12"/>
      <c r="H13" s="12"/>
    </row>
    <row r="14" spans="1:8" ht="15" customHeight="1" x14ac:dyDescent="0.3">
      <c r="A14" s="37" t="s">
        <v>317</v>
      </c>
      <c r="B14" s="37" t="s">
        <v>5</v>
      </c>
      <c r="C14" s="37" t="s">
        <v>403</v>
      </c>
      <c r="D14" s="37" t="s">
        <v>404</v>
      </c>
      <c r="E14" s="37" t="s">
        <v>289</v>
      </c>
      <c r="F14" s="37" t="s">
        <v>155</v>
      </c>
      <c r="G14" s="37" t="s">
        <v>292</v>
      </c>
      <c r="H14" s="37" t="s">
        <v>320</v>
      </c>
    </row>
    <row r="15" spans="1:8" ht="21.75" customHeight="1" x14ac:dyDescent="0.3">
      <c r="A15" s="94" t="s">
        <v>321</v>
      </c>
      <c r="B15" s="95" t="s">
        <v>421</v>
      </c>
      <c r="C15" s="96">
        <v>709700509</v>
      </c>
      <c r="D15" s="65">
        <v>709700509</v>
      </c>
      <c r="E15" s="66">
        <v>0</v>
      </c>
      <c r="F15" s="97">
        <v>0.18</v>
      </c>
      <c r="G15" s="67" t="s">
        <v>422</v>
      </c>
      <c r="H15" s="63" t="s">
        <v>423</v>
      </c>
    </row>
    <row r="16" spans="1:8" ht="21.75" customHeight="1" x14ac:dyDescent="0.3">
      <c r="A16" s="94" t="s">
        <v>324</v>
      </c>
      <c r="B16" s="95" t="s">
        <v>424</v>
      </c>
      <c r="C16" s="96">
        <v>127746092</v>
      </c>
      <c r="D16" s="65">
        <v>127746092</v>
      </c>
      <c r="E16" s="66">
        <v>0</v>
      </c>
      <c r="F16" s="97">
        <v>0.18</v>
      </c>
      <c r="G16" s="67" t="s">
        <v>422</v>
      </c>
      <c r="H16" s="63" t="s">
        <v>425</v>
      </c>
    </row>
    <row r="17" spans="1:8" ht="21.75" customHeight="1" x14ac:dyDescent="0.3">
      <c r="A17" s="94" t="s">
        <v>327</v>
      </c>
      <c r="B17" s="95" t="s">
        <v>426</v>
      </c>
      <c r="C17" s="96">
        <v>0</v>
      </c>
      <c r="D17" s="65">
        <v>0</v>
      </c>
      <c r="E17" s="66">
        <v>0</v>
      </c>
      <c r="F17" s="97">
        <v>0</v>
      </c>
      <c r="G17" s="67" t="s">
        <v>427</v>
      </c>
      <c r="H17" s="63" t="s">
        <v>172</v>
      </c>
    </row>
    <row r="18" spans="1:8" ht="21.75" customHeight="1" x14ac:dyDescent="0.3">
      <c r="A18" s="94" t="s">
        <v>331</v>
      </c>
      <c r="B18" s="95" t="s">
        <v>428</v>
      </c>
      <c r="C18" s="96">
        <v>0</v>
      </c>
      <c r="D18" s="65">
        <v>0</v>
      </c>
      <c r="E18" s="66">
        <v>0</v>
      </c>
      <c r="F18" s="97">
        <v>0</v>
      </c>
      <c r="G18" s="67" t="s">
        <v>427</v>
      </c>
      <c r="H18" s="63" t="s">
        <v>429</v>
      </c>
    </row>
    <row r="19" spans="1:8" ht="21.75" customHeight="1" x14ac:dyDescent="0.3">
      <c r="A19" s="98" t="s">
        <v>335</v>
      </c>
      <c r="B19" s="99" t="s">
        <v>430</v>
      </c>
      <c r="C19" s="100">
        <v>848023787</v>
      </c>
      <c r="D19" s="101">
        <v>847465633</v>
      </c>
      <c r="E19" s="102">
        <v>558154</v>
      </c>
      <c r="F19" s="103">
        <v>0.18</v>
      </c>
      <c r="G19" s="104" t="s">
        <v>431</v>
      </c>
      <c r="H19" s="105" t="s">
        <v>432</v>
      </c>
    </row>
    <row r="20" spans="1:8" ht="15" customHeight="1" x14ac:dyDescent="0.3">
      <c r="A20" s="22"/>
      <c r="B20" s="22"/>
      <c r="C20" s="22"/>
      <c r="D20" s="22"/>
      <c r="E20" s="22"/>
      <c r="F20" s="22"/>
      <c r="G20" s="22"/>
      <c r="H20" s="22"/>
    </row>
    <row r="21" spans="1:8" ht="15" customHeight="1" x14ac:dyDescent="0.3">
      <c r="A21" s="1" t="s">
        <v>433</v>
      </c>
      <c r="B21" s="1"/>
      <c r="C21" s="1"/>
      <c r="D21" s="1"/>
      <c r="E21" s="1"/>
      <c r="F21" s="1"/>
      <c r="G21" s="1"/>
      <c r="H21" s="1"/>
    </row>
    <row r="22" spans="1:8" ht="15" customHeight="1" x14ac:dyDescent="0.3">
      <c r="A22" s="37" t="s">
        <v>382</v>
      </c>
      <c r="B22" s="37" t="s">
        <v>383</v>
      </c>
      <c r="C22" s="37" t="s">
        <v>384</v>
      </c>
      <c r="D22" s="37" t="s">
        <v>434</v>
      </c>
      <c r="E22" s="37" t="s">
        <v>386</v>
      </c>
      <c r="F22" s="37" t="s">
        <v>435</v>
      </c>
      <c r="G22" s="37" t="s">
        <v>436</v>
      </c>
      <c r="H22" s="37" t="s">
        <v>437</v>
      </c>
    </row>
    <row r="23" spans="1:8" ht="19.5" customHeight="1" x14ac:dyDescent="0.3">
      <c r="A23" s="23" t="s">
        <v>390</v>
      </c>
      <c r="B23" s="84" t="s">
        <v>391</v>
      </c>
      <c r="C23" s="85">
        <v>0.99439999999999995</v>
      </c>
      <c r="D23" s="86">
        <v>0.99439999999999995</v>
      </c>
      <c r="E23" s="106">
        <v>0</v>
      </c>
      <c r="F23" s="41">
        <v>15026563</v>
      </c>
      <c r="G23" s="45">
        <v>14990844</v>
      </c>
      <c r="H23" s="83">
        <v>-35719</v>
      </c>
    </row>
    <row r="24" spans="1:8" ht="19.5" customHeight="1" x14ac:dyDescent="0.3">
      <c r="A24" s="27" t="s">
        <v>392</v>
      </c>
      <c r="B24" s="80" t="s">
        <v>391</v>
      </c>
      <c r="C24" s="42">
        <v>7.7591999999999999</v>
      </c>
      <c r="D24" s="81">
        <v>7.7591999999999999</v>
      </c>
      <c r="E24" s="106">
        <v>0</v>
      </c>
      <c r="F24" s="38">
        <v>117250713</v>
      </c>
      <c r="G24" s="50">
        <v>116971999</v>
      </c>
      <c r="H24" s="83">
        <v>-278714</v>
      </c>
    </row>
    <row r="25" spans="1:8" ht="19.5" customHeight="1" x14ac:dyDescent="0.3">
      <c r="A25" s="23" t="s">
        <v>393</v>
      </c>
      <c r="B25" s="84" t="s">
        <v>391</v>
      </c>
      <c r="C25" s="85">
        <v>12.4343</v>
      </c>
      <c r="D25" s="86">
        <v>12.4343</v>
      </c>
      <c r="E25" s="106">
        <v>0</v>
      </c>
      <c r="F25" s="41">
        <v>187897018</v>
      </c>
      <c r="G25" s="45">
        <v>187450372</v>
      </c>
      <c r="H25" s="83">
        <v>-446646</v>
      </c>
    </row>
    <row r="26" spans="1:8" ht="19.5" customHeight="1" x14ac:dyDescent="0.3">
      <c r="A26" s="27" t="s">
        <v>438</v>
      </c>
      <c r="B26" s="80" t="s">
        <v>391</v>
      </c>
      <c r="C26" s="42">
        <v>25.258400000000002</v>
      </c>
      <c r="D26" s="81">
        <v>25.258400000000002</v>
      </c>
      <c r="E26" s="106">
        <v>0</v>
      </c>
      <c r="F26" s="38">
        <v>381684376</v>
      </c>
      <c r="G26" s="50">
        <v>380777084</v>
      </c>
      <c r="H26" s="83">
        <v>-907292</v>
      </c>
    </row>
    <row r="27" spans="1:8" ht="19.5" customHeight="1" x14ac:dyDescent="0.3">
      <c r="A27" s="23" t="s">
        <v>439</v>
      </c>
      <c r="B27" s="84" t="s">
        <v>391</v>
      </c>
      <c r="C27" s="85">
        <v>1.1394</v>
      </c>
      <c r="D27" s="86">
        <v>1.1394</v>
      </c>
      <c r="E27" s="106">
        <v>0</v>
      </c>
      <c r="F27" s="41">
        <v>17217686</v>
      </c>
      <c r="G27" s="45">
        <v>17176758</v>
      </c>
      <c r="H27" s="83">
        <v>-40928</v>
      </c>
    </row>
    <row r="28" spans="1:8" ht="19.5" customHeight="1" x14ac:dyDescent="0.3">
      <c r="A28" s="27" t="s">
        <v>440</v>
      </c>
      <c r="B28" s="80" t="s">
        <v>391</v>
      </c>
      <c r="C28" s="42">
        <v>7.9500000000000001E-2</v>
      </c>
      <c r="D28" s="81">
        <v>7.9500000000000001E-2</v>
      </c>
      <c r="E28" s="106">
        <v>0</v>
      </c>
      <c r="F28" s="38">
        <v>1201339</v>
      </c>
      <c r="G28" s="50">
        <v>1198484</v>
      </c>
      <c r="H28" s="83">
        <v>-2855</v>
      </c>
    </row>
    <row r="29" spans="1:8" ht="15" customHeight="1" x14ac:dyDescent="0.3">
      <c r="A29" s="22"/>
      <c r="B29" s="22"/>
      <c r="C29" s="22"/>
      <c r="D29" s="22"/>
      <c r="E29" s="22"/>
      <c r="F29" s="22"/>
      <c r="G29" s="22"/>
      <c r="H29" s="22"/>
    </row>
  </sheetData>
  <mergeCells count="5">
    <mergeCell ref="A1:H1"/>
    <mergeCell ref="A2:H2"/>
    <mergeCell ref="A4:H4"/>
    <mergeCell ref="A13:H13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showGridLines="0" zoomScaleNormal="100" workbookViewId="0">
      <pane xSplit="1" ySplit="5" topLeftCell="B14" activePane="bottomRight" state="frozen"/>
      <selection pane="topRight" activeCell="B1" sqref="B1"/>
      <selection pane="bottomLeft" activeCell="A6" sqref="A6"/>
      <selection pane="bottomRight" activeCell="G16" sqref="G16"/>
    </sheetView>
  </sheetViews>
  <sheetFormatPr defaultColWidth="8.6640625" defaultRowHeight="14.4" x14ac:dyDescent="0.3"/>
  <cols>
    <col min="1" max="1" width="28" customWidth="1"/>
    <col min="2" max="3" width="20" customWidth="1"/>
    <col min="4" max="4" width="15" customWidth="1"/>
    <col min="5" max="5" width="12" customWidth="1"/>
    <col min="6" max="7" width="20" customWidth="1"/>
    <col min="8" max="8" width="18" customWidth="1"/>
    <col min="9" max="9" width="12" customWidth="1"/>
    <col min="10" max="10" width="22" customWidth="1"/>
  </cols>
  <sheetData>
    <row r="1" spans="1:10" ht="54.75" customHeight="1" x14ac:dyDescent="0.3">
      <c r="A1" s="3" t="s">
        <v>441</v>
      </c>
      <c r="B1" s="3"/>
      <c r="C1" s="3"/>
      <c r="D1" s="3"/>
      <c r="E1" s="3"/>
      <c r="F1" s="3"/>
      <c r="G1" s="3"/>
      <c r="H1" s="3"/>
      <c r="I1" s="3"/>
      <c r="J1" s="3"/>
    </row>
    <row r="2" spans="1:10" ht="24.75" customHeight="1" x14ac:dyDescent="0.3">
      <c r="A2" s="13" t="s">
        <v>442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15" customHeight="1" x14ac:dyDescent="0.3">
      <c r="A4" s="2" t="s">
        <v>443</v>
      </c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3">
      <c r="A5" s="37" t="s">
        <v>444</v>
      </c>
      <c r="B5" s="37" t="s">
        <v>445</v>
      </c>
      <c r="C5" s="37" t="s">
        <v>446</v>
      </c>
      <c r="D5" s="37" t="s">
        <v>447</v>
      </c>
      <c r="E5" s="37" t="s">
        <v>448</v>
      </c>
      <c r="F5" s="37" t="s">
        <v>449</v>
      </c>
      <c r="G5" s="37" t="s">
        <v>450</v>
      </c>
      <c r="H5" s="37" t="s">
        <v>451</v>
      </c>
      <c r="I5" s="37" t="s">
        <v>452</v>
      </c>
      <c r="J5" s="37" t="s">
        <v>453</v>
      </c>
    </row>
    <row r="6" spans="1:10" ht="21.75" customHeight="1" x14ac:dyDescent="0.3">
      <c r="A6" s="62" t="s">
        <v>454</v>
      </c>
      <c r="B6" s="65">
        <v>9533490</v>
      </c>
      <c r="C6" s="65">
        <v>9533490</v>
      </c>
      <c r="D6" s="107">
        <v>0</v>
      </c>
      <c r="E6" s="108">
        <v>0</v>
      </c>
      <c r="F6" s="65">
        <v>14889280</v>
      </c>
      <c r="G6" s="65">
        <v>14889280</v>
      </c>
      <c r="H6" s="107">
        <v>0</v>
      </c>
      <c r="I6" s="108">
        <v>0</v>
      </c>
      <c r="J6" s="94" t="s">
        <v>455</v>
      </c>
    </row>
    <row r="7" spans="1:10" ht="21.75" customHeight="1" x14ac:dyDescent="0.3">
      <c r="A7" s="109" t="s">
        <v>456</v>
      </c>
      <c r="B7" s="101">
        <v>532915</v>
      </c>
      <c r="C7" s="101">
        <v>532733</v>
      </c>
      <c r="D7" s="101">
        <v>182</v>
      </c>
      <c r="E7" s="110">
        <v>3.4000000000000002E-4</v>
      </c>
      <c r="F7" s="101">
        <v>221906</v>
      </c>
      <c r="G7" s="101">
        <v>185985</v>
      </c>
      <c r="H7" s="102">
        <v>35921</v>
      </c>
      <c r="I7" s="110">
        <v>0.16189999999999999</v>
      </c>
      <c r="J7" s="98" t="s">
        <v>457</v>
      </c>
    </row>
    <row r="8" spans="1:10" ht="21.75" customHeight="1" x14ac:dyDescent="0.3">
      <c r="A8" s="109" t="s">
        <v>410</v>
      </c>
      <c r="B8" s="101">
        <v>13.395899999999999</v>
      </c>
      <c r="C8" s="101">
        <v>13.395799999999999</v>
      </c>
      <c r="D8" s="101">
        <v>1E-4</v>
      </c>
      <c r="E8" s="110">
        <v>0</v>
      </c>
      <c r="F8" s="101">
        <v>47.665199999999999</v>
      </c>
      <c r="G8" s="101">
        <v>47.665199999999999</v>
      </c>
      <c r="H8" s="107">
        <v>0</v>
      </c>
      <c r="I8" s="110">
        <v>0</v>
      </c>
      <c r="J8" s="98" t="s">
        <v>458</v>
      </c>
    </row>
    <row r="9" spans="1:10" ht="21.75" customHeight="1" x14ac:dyDescent="0.3">
      <c r="A9" s="109" t="s">
        <v>414</v>
      </c>
      <c r="B9" s="101">
        <v>127709679</v>
      </c>
      <c r="C9" s="101">
        <v>127708725</v>
      </c>
      <c r="D9" s="101">
        <v>954</v>
      </c>
      <c r="E9" s="110">
        <v>6.9999999999999999E-6</v>
      </c>
      <c r="F9" s="101">
        <v>709700509</v>
      </c>
      <c r="G9" s="101">
        <v>709700509</v>
      </c>
      <c r="H9" s="107">
        <v>0</v>
      </c>
      <c r="I9" s="110">
        <v>0</v>
      </c>
      <c r="J9" s="98" t="s">
        <v>459</v>
      </c>
    </row>
    <row r="10" spans="1:10" ht="21.75" customHeight="1" x14ac:dyDescent="0.3">
      <c r="A10" s="109" t="s">
        <v>416</v>
      </c>
      <c r="B10" s="101">
        <v>7138876</v>
      </c>
      <c r="C10" s="101">
        <v>7136385</v>
      </c>
      <c r="D10" s="102">
        <v>2491</v>
      </c>
      <c r="E10" s="110">
        <v>3.5E-4</v>
      </c>
      <c r="F10" s="101">
        <v>10577186</v>
      </c>
      <c r="G10" s="101">
        <v>8865032</v>
      </c>
      <c r="H10" s="102">
        <v>1712154</v>
      </c>
      <c r="I10" s="110">
        <v>0.16189999999999999</v>
      </c>
      <c r="J10" s="98" t="s">
        <v>460</v>
      </c>
    </row>
    <row r="11" spans="1:10" ht="21.75" customHeight="1" x14ac:dyDescent="0.3">
      <c r="A11" s="109" t="s">
        <v>461</v>
      </c>
      <c r="B11" s="101">
        <v>134848555</v>
      </c>
      <c r="C11" s="101">
        <v>134845110</v>
      </c>
      <c r="D11" s="102">
        <v>3445</v>
      </c>
      <c r="E11" s="110">
        <v>2.5999999999999998E-5</v>
      </c>
      <c r="F11" s="101">
        <v>720277695</v>
      </c>
      <c r="G11" s="101">
        <v>718565541</v>
      </c>
      <c r="H11" s="102">
        <v>1712154</v>
      </c>
      <c r="I11" s="110">
        <v>2.3999999999999998E-3</v>
      </c>
      <c r="J11" s="98" t="s">
        <v>462</v>
      </c>
    </row>
    <row r="12" spans="1:10" ht="21.75" customHeight="1" x14ac:dyDescent="0.3">
      <c r="A12" s="62" t="s">
        <v>463</v>
      </c>
      <c r="B12" s="65">
        <v>127709679</v>
      </c>
      <c r="C12" s="65">
        <v>127708725</v>
      </c>
      <c r="D12" s="65">
        <v>954</v>
      </c>
      <c r="E12" s="108">
        <v>6.9999999999999999E-6</v>
      </c>
      <c r="F12" s="65">
        <v>709700509</v>
      </c>
      <c r="G12" s="65">
        <v>709700509</v>
      </c>
      <c r="H12" s="107">
        <v>0</v>
      </c>
      <c r="I12" s="108">
        <v>0</v>
      </c>
      <c r="J12" s="94" t="s">
        <v>464</v>
      </c>
    </row>
    <row r="13" spans="1:10" ht="21.75" customHeight="1" x14ac:dyDescent="0.3">
      <c r="A13" s="109" t="s">
        <v>465</v>
      </c>
      <c r="B13" s="101">
        <v>22987742</v>
      </c>
      <c r="C13" s="101">
        <v>22987571</v>
      </c>
      <c r="D13" s="101">
        <v>171</v>
      </c>
      <c r="E13" s="110">
        <v>6.9999999999999999E-6</v>
      </c>
      <c r="F13" s="101">
        <v>127746092</v>
      </c>
      <c r="G13" s="101">
        <v>127746092</v>
      </c>
      <c r="H13" s="107">
        <v>0</v>
      </c>
      <c r="I13" s="110">
        <v>0</v>
      </c>
      <c r="J13" s="98" t="s">
        <v>466</v>
      </c>
    </row>
    <row r="14" spans="1:10" ht="21.75" customHeight="1" x14ac:dyDescent="0.3">
      <c r="A14" s="109" t="s">
        <v>467</v>
      </c>
      <c r="B14" s="101">
        <v>157836297</v>
      </c>
      <c r="C14" s="101">
        <v>157831682</v>
      </c>
      <c r="D14" s="102">
        <v>4615</v>
      </c>
      <c r="E14" s="110">
        <v>2.9E-5</v>
      </c>
      <c r="F14" s="101">
        <v>848023787</v>
      </c>
      <c r="G14" s="101">
        <v>847465633</v>
      </c>
      <c r="H14" s="102">
        <v>558154</v>
      </c>
      <c r="I14" s="110">
        <v>6.9999999999999999E-4</v>
      </c>
      <c r="J14" s="98" t="s">
        <v>468</v>
      </c>
    </row>
    <row r="15" spans="1:10" ht="21.75" customHeight="1" x14ac:dyDescent="0.3">
      <c r="A15" s="62" t="s">
        <v>428</v>
      </c>
      <c r="B15" s="65">
        <v>0</v>
      </c>
      <c r="C15" s="65">
        <v>0</v>
      </c>
      <c r="D15" s="107">
        <v>0</v>
      </c>
      <c r="E15" s="108">
        <v>0</v>
      </c>
      <c r="F15" s="65">
        <v>0</v>
      </c>
      <c r="G15" s="65">
        <v>0</v>
      </c>
      <c r="H15" s="107">
        <v>0</v>
      </c>
      <c r="I15" s="108">
        <v>0</v>
      </c>
      <c r="J15" s="94" t="s">
        <v>469</v>
      </c>
    </row>
    <row r="16" spans="1:10" ht="21.75" customHeight="1" x14ac:dyDescent="0.3">
      <c r="A16" s="62" t="s">
        <v>470</v>
      </c>
      <c r="B16" s="65">
        <v>4797262</v>
      </c>
      <c r="C16" s="65">
        <v>4797262</v>
      </c>
      <c r="D16" s="107">
        <v>0</v>
      </c>
      <c r="E16" s="108">
        <v>0</v>
      </c>
      <c r="F16" s="111" t="s">
        <v>355</v>
      </c>
      <c r="G16" s="111" t="s">
        <v>355</v>
      </c>
      <c r="H16" s="107">
        <v>0</v>
      </c>
      <c r="I16" s="108">
        <v>0</v>
      </c>
      <c r="J16" s="94" t="s">
        <v>471</v>
      </c>
    </row>
    <row r="17" spans="1:10" ht="21.75" customHeight="1" x14ac:dyDescent="0.3">
      <c r="A17" s="62" t="s">
        <v>472</v>
      </c>
      <c r="B17" s="65">
        <v>2583448</v>
      </c>
      <c r="C17" s="65">
        <v>2583448</v>
      </c>
      <c r="D17" s="107">
        <v>0</v>
      </c>
      <c r="E17" s="108">
        <v>0</v>
      </c>
      <c r="F17" s="111" t="s">
        <v>355</v>
      </c>
      <c r="G17" s="111" t="s">
        <v>355</v>
      </c>
      <c r="H17" s="107">
        <v>0</v>
      </c>
      <c r="I17" s="108">
        <v>0</v>
      </c>
      <c r="J17" s="94" t="s">
        <v>473</v>
      </c>
    </row>
    <row r="18" spans="1:10" ht="15" customHeight="1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3">
    <mergeCell ref="A1:J1"/>
    <mergeCell ref="A2:J2"/>
    <mergeCell ref="A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G1"/>
    </sheetView>
  </sheetViews>
  <sheetFormatPr defaultColWidth="8.6640625" defaultRowHeight="14.4" x14ac:dyDescent="0.3"/>
  <cols>
    <col min="1" max="1" width="18" customWidth="1"/>
    <col min="2" max="2" width="32" customWidth="1"/>
    <col min="3" max="3" width="22" customWidth="1"/>
    <col min="4" max="5" width="20" customWidth="1"/>
    <col min="6" max="6" width="22" customWidth="1"/>
    <col min="7" max="7" width="35" customWidth="1"/>
  </cols>
  <sheetData>
    <row r="1" spans="1:7" ht="54.75" customHeight="1" x14ac:dyDescent="0.3">
      <c r="A1" s="3" t="s">
        <v>474</v>
      </c>
      <c r="B1" s="3"/>
      <c r="C1" s="3"/>
      <c r="D1" s="3"/>
      <c r="E1" s="3"/>
      <c r="F1" s="3"/>
      <c r="G1" s="3"/>
    </row>
    <row r="2" spans="1:7" ht="15" customHeight="1" x14ac:dyDescent="0.3">
      <c r="A2" s="13" t="s">
        <v>475</v>
      </c>
      <c r="B2" s="13"/>
      <c r="C2" s="13"/>
      <c r="D2" s="13"/>
      <c r="E2" s="13"/>
      <c r="F2" s="13"/>
      <c r="G2" s="13"/>
    </row>
    <row r="4" spans="1:7" ht="15" customHeight="1" x14ac:dyDescent="0.3">
      <c r="A4" s="2" t="s">
        <v>476</v>
      </c>
      <c r="B4" s="2"/>
      <c r="C4" s="2"/>
      <c r="D4" s="2"/>
      <c r="E4" s="2"/>
      <c r="F4" s="2"/>
      <c r="G4" s="2"/>
    </row>
    <row r="5" spans="1:7" ht="15" customHeight="1" x14ac:dyDescent="0.3">
      <c r="A5" s="37" t="s">
        <v>477</v>
      </c>
      <c r="B5" s="37" t="s">
        <v>5</v>
      </c>
      <c r="C5" s="37" t="s">
        <v>478</v>
      </c>
      <c r="D5" s="37" t="s">
        <v>479</v>
      </c>
      <c r="E5" s="37" t="s">
        <v>480</v>
      </c>
      <c r="F5" s="37" t="s">
        <v>58</v>
      </c>
      <c r="G5" s="37" t="s">
        <v>293</v>
      </c>
    </row>
    <row r="6" spans="1:7" ht="19.5" customHeight="1" x14ac:dyDescent="0.3">
      <c r="A6" s="28" t="s">
        <v>481</v>
      </c>
      <c r="B6" s="28" t="s">
        <v>482</v>
      </c>
      <c r="C6" s="50">
        <v>31566682</v>
      </c>
      <c r="D6" s="50">
        <v>31566682</v>
      </c>
      <c r="E6" s="50">
        <v>4797262</v>
      </c>
      <c r="F6" s="28" t="s">
        <v>483</v>
      </c>
      <c r="G6" s="28" t="s">
        <v>484</v>
      </c>
    </row>
    <row r="7" spans="1:7" ht="19.5" customHeight="1" x14ac:dyDescent="0.3">
      <c r="A7" s="24" t="s">
        <v>485</v>
      </c>
      <c r="B7" s="24" t="s">
        <v>486</v>
      </c>
      <c r="C7" s="24">
        <v>0</v>
      </c>
      <c r="D7" s="24">
        <v>0</v>
      </c>
      <c r="E7" s="24">
        <v>0</v>
      </c>
      <c r="F7" s="24" t="s">
        <v>487</v>
      </c>
      <c r="G7" s="24" t="s">
        <v>488</v>
      </c>
    </row>
    <row r="8" spans="1:7" ht="19.5" customHeight="1" x14ac:dyDescent="0.3">
      <c r="A8" s="28" t="s">
        <v>489</v>
      </c>
      <c r="B8" s="28" t="s">
        <v>490</v>
      </c>
      <c r="C8" s="28">
        <v>0</v>
      </c>
      <c r="D8" s="28">
        <v>0</v>
      </c>
      <c r="E8" s="28">
        <v>0</v>
      </c>
      <c r="F8" s="28" t="s">
        <v>491</v>
      </c>
      <c r="G8" s="28" t="s">
        <v>488</v>
      </c>
    </row>
    <row r="9" spans="1:7" ht="19.5" customHeight="1" x14ac:dyDescent="0.3">
      <c r="A9" s="24" t="s">
        <v>492</v>
      </c>
      <c r="B9" s="24" t="s">
        <v>493</v>
      </c>
      <c r="C9" s="24">
        <v>0</v>
      </c>
      <c r="D9" s="24">
        <v>0</v>
      </c>
      <c r="E9" s="24">
        <v>0</v>
      </c>
      <c r="F9" s="24" t="s">
        <v>494</v>
      </c>
      <c r="G9" s="24" t="s">
        <v>488</v>
      </c>
    </row>
    <row r="10" spans="1:7" ht="19.5" customHeight="1" x14ac:dyDescent="0.3">
      <c r="A10" s="27" t="s">
        <v>495</v>
      </c>
      <c r="B10" s="27" t="s">
        <v>496</v>
      </c>
      <c r="C10" s="27">
        <v>0</v>
      </c>
      <c r="D10" s="27">
        <v>0</v>
      </c>
      <c r="E10" s="112">
        <v>4797262</v>
      </c>
      <c r="F10" s="27" t="s">
        <v>497</v>
      </c>
      <c r="G10" s="113" t="s">
        <v>498</v>
      </c>
    </row>
    <row r="11" spans="1:7" ht="19.5" customHeight="1" x14ac:dyDescent="0.3">
      <c r="A11" s="24" t="s">
        <v>499</v>
      </c>
      <c r="B11" s="24" t="s">
        <v>500</v>
      </c>
      <c r="C11" s="24">
        <v>0</v>
      </c>
      <c r="D11" s="24">
        <v>0</v>
      </c>
      <c r="E11" s="24">
        <v>0</v>
      </c>
      <c r="F11" s="24" t="s">
        <v>501</v>
      </c>
      <c r="G11" s="24" t="s">
        <v>498</v>
      </c>
    </row>
    <row r="12" spans="1:7" ht="19.5" customHeight="1" x14ac:dyDescent="0.3">
      <c r="A12" s="27" t="s">
        <v>502</v>
      </c>
      <c r="B12" s="27" t="s">
        <v>503</v>
      </c>
      <c r="C12" s="27">
        <v>0</v>
      </c>
      <c r="D12" s="27">
        <v>0</v>
      </c>
      <c r="E12" s="112">
        <v>4797262</v>
      </c>
      <c r="F12" s="27" t="s">
        <v>497</v>
      </c>
      <c r="G12" s="27" t="s">
        <v>504</v>
      </c>
    </row>
    <row r="13" spans="1:7" ht="15" customHeight="1" x14ac:dyDescent="0.3">
      <c r="A13" s="22"/>
      <c r="B13" s="22"/>
      <c r="C13" s="22"/>
      <c r="D13" s="22"/>
      <c r="E13" s="22"/>
      <c r="F13" s="22"/>
      <c r="G13" s="22"/>
    </row>
    <row r="14" spans="1:7" ht="15" customHeight="1" x14ac:dyDescent="0.3">
      <c r="A14" s="12" t="s">
        <v>505</v>
      </c>
      <c r="B14" s="12"/>
      <c r="C14" s="12"/>
      <c r="D14" s="12"/>
      <c r="E14" s="12"/>
      <c r="F14" s="12"/>
      <c r="G14" s="12"/>
    </row>
    <row r="15" spans="1:7" ht="15" customHeight="1" x14ac:dyDescent="0.3">
      <c r="A15" s="37" t="s">
        <v>477</v>
      </c>
      <c r="B15" s="37" t="s">
        <v>5</v>
      </c>
      <c r="C15" s="37" t="s">
        <v>478</v>
      </c>
      <c r="D15" s="37" t="s">
        <v>479</v>
      </c>
      <c r="E15" s="37" t="s">
        <v>480</v>
      </c>
      <c r="F15" s="37" t="s">
        <v>506</v>
      </c>
      <c r="G15" s="37" t="s">
        <v>507</v>
      </c>
    </row>
    <row r="16" spans="1:7" ht="21.75" customHeight="1" x14ac:dyDescent="0.3">
      <c r="A16" s="28" t="s">
        <v>508</v>
      </c>
      <c r="B16" s="28" t="s">
        <v>509</v>
      </c>
      <c r="C16" s="50">
        <v>41003949</v>
      </c>
      <c r="D16" s="50">
        <v>41003949</v>
      </c>
      <c r="E16" s="50">
        <v>7380710</v>
      </c>
      <c r="F16" s="28" t="s">
        <v>510</v>
      </c>
      <c r="G16" s="51" t="s">
        <v>511</v>
      </c>
    </row>
    <row r="17" spans="1:7" ht="21.75" customHeight="1" x14ac:dyDescent="0.3">
      <c r="A17" s="24" t="s">
        <v>512</v>
      </c>
      <c r="B17" s="24" t="s">
        <v>513</v>
      </c>
      <c r="C17" s="24">
        <v>0</v>
      </c>
      <c r="D17" s="24">
        <v>0</v>
      </c>
      <c r="E17" s="24">
        <v>0</v>
      </c>
      <c r="F17" s="24" t="s">
        <v>243</v>
      </c>
      <c r="G17" s="46" t="s">
        <v>488</v>
      </c>
    </row>
    <row r="18" spans="1:7" ht="21.75" customHeight="1" x14ac:dyDescent="0.3">
      <c r="A18" s="28" t="s">
        <v>514</v>
      </c>
      <c r="B18" s="28" t="s">
        <v>515</v>
      </c>
      <c r="C18" s="28">
        <v>0</v>
      </c>
      <c r="D18" s="28">
        <v>0</v>
      </c>
      <c r="E18" s="28">
        <v>0</v>
      </c>
      <c r="F18" s="28" t="s">
        <v>243</v>
      </c>
      <c r="G18" s="51" t="s">
        <v>516</v>
      </c>
    </row>
    <row r="19" spans="1:7" ht="21.75" customHeight="1" x14ac:dyDescent="0.3">
      <c r="A19" s="23" t="s">
        <v>517</v>
      </c>
      <c r="B19" s="23" t="s">
        <v>518</v>
      </c>
      <c r="C19" s="23">
        <v>0</v>
      </c>
      <c r="D19" s="23">
        <v>0</v>
      </c>
      <c r="E19" s="114">
        <v>7380710</v>
      </c>
      <c r="F19" s="23" t="s">
        <v>497</v>
      </c>
      <c r="G19" s="115" t="s">
        <v>519</v>
      </c>
    </row>
    <row r="20" spans="1:7" ht="21.75" customHeight="1" x14ac:dyDescent="0.3">
      <c r="A20" s="28" t="s">
        <v>520</v>
      </c>
      <c r="B20" s="28" t="s">
        <v>521</v>
      </c>
      <c r="C20" s="28">
        <v>0</v>
      </c>
      <c r="D20" s="28">
        <v>0</v>
      </c>
      <c r="E20" s="28">
        <v>0</v>
      </c>
      <c r="F20" s="28" t="s">
        <v>243</v>
      </c>
      <c r="G20" s="51" t="s">
        <v>522</v>
      </c>
    </row>
    <row r="21" spans="1:7" ht="15" customHeight="1" x14ac:dyDescent="0.3">
      <c r="A21" s="22"/>
      <c r="B21" s="22"/>
      <c r="C21" s="22"/>
      <c r="D21" s="22"/>
      <c r="E21" s="22"/>
      <c r="F21" s="22"/>
      <c r="G21" s="22"/>
    </row>
    <row r="22" spans="1:7" ht="15" customHeight="1" x14ac:dyDescent="0.3">
      <c r="A22" s="1" t="s">
        <v>523</v>
      </c>
      <c r="B22" s="1"/>
      <c r="C22" s="1"/>
      <c r="D22" s="1"/>
      <c r="E22" s="1"/>
      <c r="F22" s="1"/>
      <c r="G22" s="1"/>
    </row>
    <row r="23" spans="1:7" ht="15" customHeight="1" x14ac:dyDescent="0.3">
      <c r="A23" s="37" t="s">
        <v>524</v>
      </c>
      <c r="B23" s="37" t="s">
        <v>5</v>
      </c>
      <c r="C23" s="37" t="s">
        <v>525</v>
      </c>
      <c r="D23" s="37" t="s">
        <v>159</v>
      </c>
      <c r="E23" s="37" t="s">
        <v>58</v>
      </c>
      <c r="F23" s="37" t="s">
        <v>526</v>
      </c>
      <c r="G23" s="37" t="s">
        <v>292</v>
      </c>
    </row>
    <row r="24" spans="1:7" ht="21.75" customHeight="1" x14ac:dyDescent="0.3">
      <c r="A24" s="28" t="s">
        <v>527</v>
      </c>
      <c r="B24" s="28" t="s">
        <v>528</v>
      </c>
      <c r="C24" s="50">
        <v>4797262</v>
      </c>
      <c r="D24" s="28" t="s">
        <v>529</v>
      </c>
      <c r="E24" s="28" t="s">
        <v>530</v>
      </c>
      <c r="F24" s="28"/>
      <c r="G24" s="28" t="s">
        <v>531</v>
      </c>
    </row>
    <row r="25" spans="1:7" ht="21.75" customHeight="1" x14ac:dyDescent="0.3">
      <c r="A25" s="24" t="s">
        <v>532</v>
      </c>
      <c r="B25" s="24" t="s">
        <v>533</v>
      </c>
      <c r="C25" s="45">
        <v>7380710</v>
      </c>
      <c r="D25" s="24" t="s">
        <v>534</v>
      </c>
      <c r="E25" s="24" t="s">
        <v>530</v>
      </c>
      <c r="F25" s="24"/>
      <c r="G25" s="24"/>
    </row>
    <row r="26" spans="1:7" ht="21.75" customHeight="1" x14ac:dyDescent="0.3">
      <c r="A26" s="27" t="s">
        <v>535</v>
      </c>
      <c r="B26" s="27" t="s">
        <v>536</v>
      </c>
      <c r="C26" s="112">
        <v>2583448</v>
      </c>
      <c r="D26" s="27" t="s">
        <v>537</v>
      </c>
      <c r="E26" s="27" t="s">
        <v>530</v>
      </c>
      <c r="F26" s="27"/>
      <c r="G26" s="27"/>
    </row>
    <row r="27" spans="1:7" ht="21.75" customHeight="1" x14ac:dyDescent="0.3">
      <c r="A27" s="62" t="s">
        <v>538</v>
      </c>
      <c r="B27" s="62" t="s">
        <v>539</v>
      </c>
      <c r="C27" s="116">
        <v>2583448</v>
      </c>
      <c r="D27" s="117">
        <v>2583448</v>
      </c>
      <c r="E27" s="62" t="s">
        <v>540</v>
      </c>
      <c r="F27" s="62" t="s">
        <v>541</v>
      </c>
      <c r="G27" s="118" t="s">
        <v>542</v>
      </c>
    </row>
    <row r="28" spans="1:7" ht="21.75" customHeight="1" x14ac:dyDescent="0.3">
      <c r="A28" s="27" t="s">
        <v>543</v>
      </c>
      <c r="B28" s="27" t="s">
        <v>544</v>
      </c>
      <c r="C28" s="112">
        <v>2583448</v>
      </c>
      <c r="D28" s="119">
        <v>2583448</v>
      </c>
      <c r="E28" s="27" t="s">
        <v>530</v>
      </c>
      <c r="F28" s="27"/>
      <c r="G28" s="27"/>
    </row>
    <row r="29" spans="1:7" ht="15" customHeight="1" x14ac:dyDescent="0.3">
      <c r="A29" s="22"/>
      <c r="B29" s="22"/>
      <c r="C29" s="22"/>
      <c r="D29" s="22"/>
      <c r="E29" s="22"/>
      <c r="F29" s="22"/>
      <c r="G29" s="22"/>
    </row>
    <row r="30" spans="1:7" ht="15" customHeight="1" x14ac:dyDescent="0.3">
      <c r="A30" s="137" t="s">
        <v>545</v>
      </c>
      <c r="B30" s="137"/>
      <c r="C30" s="137"/>
      <c r="D30" s="137"/>
      <c r="E30" s="137"/>
      <c r="F30" s="137"/>
      <c r="G30" s="137"/>
    </row>
    <row r="31" spans="1:7" ht="15" customHeight="1" x14ac:dyDescent="0.3">
      <c r="A31" s="37" t="s">
        <v>546</v>
      </c>
      <c r="B31" s="37" t="s">
        <v>547</v>
      </c>
      <c r="C31" s="37" t="s">
        <v>548</v>
      </c>
      <c r="D31" s="37" t="s">
        <v>549</v>
      </c>
      <c r="E31" s="37" t="s">
        <v>550</v>
      </c>
      <c r="F31" s="37" t="s">
        <v>551</v>
      </c>
      <c r="G31" s="37" t="s">
        <v>552</v>
      </c>
    </row>
    <row r="32" spans="1:7" ht="21.75" customHeight="1" x14ac:dyDescent="0.3">
      <c r="A32" s="99" t="s">
        <v>553</v>
      </c>
      <c r="B32" s="99" t="s">
        <v>554</v>
      </c>
      <c r="C32" s="99" t="s">
        <v>555</v>
      </c>
      <c r="D32" s="101">
        <v>1</v>
      </c>
      <c r="E32" s="99" t="s">
        <v>273</v>
      </c>
      <c r="F32" s="99" t="s">
        <v>556</v>
      </c>
      <c r="G32" s="99" t="s">
        <v>557</v>
      </c>
    </row>
    <row r="33" spans="1:7" ht="21.75" customHeight="1" x14ac:dyDescent="0.3">
      <c r="A33" s="99" t="s">
        <v>553</v>
      </c>
      <c r="B33" s="99" t="s">
        <v>558</v>
      </c>
      <c r="C33" s="99" t="s">
        <v>555</v>
      </c>
      <c r="D33" s="101">
        <v>27697103</v>
      </c>
      <c r="E33" s="101">
        <v>4985479</v>
      </c>
      <c r="F33" s="99" t="s">
        <v>559</v>
      </c>
      <c r="G33" s="99" t="s">
        <v>560</v>
      </c>
    </row>
    <row r="34" spans="1:7" ht="21.75" customHeight="1" x14ac:dyDescent="0.3">
      <c r="A34" s="99" t="s">
        <v>561</v>
      </c>
      <c r="B34" s="99" t="s">
        <v>558</v>
      </c>
      <c r="C34" s="99" t="s">
        <v>555</v>
      </c>
      <c r="D34" s="101">
        <v>70097830</v>
      </c>
      <c r="E34" s="101">
        <v>12617609</v>
      </c>
      <c r="F34" s="99" t="s">
        <v>559</v>
      </c>
      <c r="G34" s="99" t="s">
        <v>562</v>
      </c>
    </row>
    <row r="35" spans="1:7" ht="15" customHeight="1" x14ac:dyDescent="0.3">
      <c r="A35" s="22"/>
      <c r="B35" s="22"/>
      <c r="C35" s="22"/>
      <c r="D35" s="22"/>
      <c r="E35" s="22"/>
      <c r="F35" s="22"/>
      <c r="G35" s="22"/>
    </row>
  </sheetData>
  <mergeCells count="6">
    <mergeCell ref="A30:G30"/>
    <mergeCell ref="A1:G1"/>
    <mergeCell ref="A2:G2"/>
    <mergeCell ref="A4:G4"/>
    <mergeCell ref="A14:G14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30" customWidth="1"/>
    <col min="2" max="2" width="20" customWidth="1"/>
    <col min="3" max="3" width="14" customWidth="1"/>
    <col min="4" max="4" width="20" customWidth="1"/>
    <col min="5" max="5" width="18" customWidth="1"/>
    <col min="6" max="6" width="20" customWidth="1"/>
    <col min="7" max="7" width="14" customWidth="1"/>
    <col min="8" max="8" width="20" customWidth="1"/>
    <col min="9" max="9" width="16" customWidth="1"/>
    <col min="10" max="11" width="22" customWidth="1"/>
  </cols>
  <sheetData>
    <row r="1" spans="1:11" ht="54.75" customHeight="1" x14ac:dyDescent="0.3">
      <c r="A1" s="3" t="s">
        <v>563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4.75" customHeight="1" x14ac:dyDescent="0.3">
      <c r="A2" s="13" t="s">
        <v>564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15" customHeight="1" x14ac:dyDescent="0.3">
      <c r="A4" s="2" t="s">
        <v>565</v>
      </c>
      <c r="B4" s="2"/>
      <c r="C4" s="2"/>
      <c r="D4" s="2"/>
    </row>
    <row r="5" spans="1:11" ht="21.75" customHeight="1" x14ac:dyDescent="0.3">
      <c r="A5" s="120" t="s">
        <v>566</v>
      </c>
      <c r="B5" s="121">
        <v>0.18</v>
      </c>
      <c r="C5" s="51" t="s">
        <v>567</v>
      </c>
    </row>
    <row r="6" spans="1:11" ht="32.25" customHeight="1" x14ac:dyDescent="0.3">
      <c r="A6" s="120" t="s">
        <v>568</v>
      </c>
      <c r="B6" s="121">
        <v>7.0000000000000007E-2</v>
      </c>
      <c r="C6" s="51" t="s">
        <v>569</v>
      </c>
    </row>
    <row r="7" spans="1:11" ht="21.75" customHeight="1" x14ac:dyDescent="0.3">
      <c r="A7" s="120" t="s">
        <v>570</v>
      </c>
      <c r="B7" s="121">
        <v>0</v>
      </c>
      <c r="C7" s="51" t="s">
        <v>571</v>
      </c>
    </row>
    <row r="8" spans="1:11" ht="21.75" customHeight="1" x14ac:dyDescent="0.3">
      <c r="A8" s="120" t="s">
        <v>572</v>
      </c>
      <c r="B8" s="121">
        <v>0.05</v>
      </c>
      <c r="C8" s="51" t="s">
        <v>573</v>
      </c>
    </row>
    <row r="9" spans="1:11" ht="21.75" customHeight="1" x14ac:dyDescent="0.3">
      <c r="A9" s="120" t="s">
        <v>574</v>
      </c>
      <c r="B9" s="121">
        <v>0.2</v>
      </c>
      <c r="C9" s="51" t="s">
        <v>575</v>
      </c>
    </row>
    <row r="10" spans="1:11" ht="32.25" customHeight="1" x14ac:dyDescent="0.3">
      <c r="A10" s="120" t="s">
        <v>377</v>
      </c>
      <c r="B10" s="121">
        <v>0.03</v>
      </c>
      <c r="C10" s="51" t="s">
        <v>576</v>
      </c>
    </row>
    <row r="11" spans="1:11" ht="32.25" customHeight="1" x14ac:dyDescent="0.3">
      <c r="A11" s="120" t="s">
        <v>577</v>
      </c>
      <c r="B11" s="121">
        <v>0.1</v>
      </c>
      <c r="C11" s="51" t="s">
        <v>578</v>
      </c>
    </row>
    <row r="12" spans="1:11" ht="21.75" customHeight="1" x14ac:dyDescent="0.3">
      <c r="A12" s="120" t="s">
        <v>579</v>
      </c>
      <c r="B12" s="121">
        <v>1.2500000000000001E-2</v>
      </c>
      <c r="C12" s="51" t="s">
        <v>580</v>
      </c>
    </row>
    <row r="14" spans="1:11" ht="15" customHeight="1" x14ac:dyDescent="0.3">
      <c r="A14" s="12" t="s">
        <v>581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15" customHeight="1" x14ac:dyDescent="0.3">
      <c r="A15" s="37" t="s">
        <v>152</v>
      </c>
      <c r="B15" s="37" t="s">
        <v>582</v>
      </c>
      <c r="C15" s="37" t="s">
        <v>155</v>
      </c>
      <c r="D15" s="37" t="s">
        <v>583</v>
      </c>
      <c r="E15" s="37" t="s">
        <v>584</v>
      </c>
      <c r="F15" s="37" t="s">
        <v>585</v>
      </c>
      <c r="G15" s="37" t="s">
        <v>586</v>
      </c>
      <c r="H15" s="37" t="s">
        <v>587</v>
      </c>
      <c r="I15" s="37" t="s">
        <v>588</v>
      </c>
      <c r="J15" s="37" t="s">
        <v>589</v>
      </c>
      <c r="K15" s="37" t="s">
        <v>590</v>
      </c>
    </row>
    <row r="16" spans="1:11" ht="21.75" customHeight="1" x14ac:dyDescent="0.3">
      <c r="A16" s="27" t="s">
        <v>591</v>
      </c>
      <c r="B16" s="38">
        <v>127709679</v>
      </c>
      <c r="C16" s="122">
        <f>B5</f>
        <v>0.18</v>
      </c>
      <c r="D16" s="123">
        <f>127709679*B5</f>
        <v>22987742.219999999</v>
      </c>
      <c r="E16" s="124" t="s">
        <v>592</v>
      </c>
      <c r="F16" s="119">
        <f>D16</f>
        <v>22987742.219999999</v>
      </c>
      <c r="G16" s="50">
        <v>0</v>
      </c>
      <c r="H16" s="119">
        <f>D16</f>
        <v>22987742.219999999</v>
      </c>
      <c r="I16" s="125">
        <f>D16/127709679</f>
        <v>0.18</v>
      </c>
      <c r="J16" s="80" t="s">
        <v>593</v>
      </c>
      <c r="K16" s="80" t="s">
        <v>355</v>
      </c>
    </row>
    <row r="17" spans="1:11" ht="21.75" customHeight="1" x14ac:dyDescent="0.3">
      <c r="A17" s="62" t="s">
        <v>594</v>
      </c>
      <c r="B17" s="96">
        <v>7138876</v>
      </c>
      <c r="C17" s="111" t="s">
        <v>170</v>
      </c>
      <c r="D17" s="116">
        <v>0</v>
      </c>
      <c r="E17" s="67" t="s">
        <v>250</v>
      </c>
      <c r="F17" s="117">
        <f>0</f>
        <v>0</v>
      </c>
      <c r="G17" s="65">
        <v>0</v>
      </c>
      <c r="H17" s="65">
        <v>0</v>
      </c>
      <c r="I17" s="111">
        <v>0</v>
      </c>
      <c r="J17" s="126" t="s">
        <v>180</v>
      </c>
      <c r="K17" s="127" t="s">
        <v>355</v>
      </c>
    </row>
    <row r="18" spans="1:11" ht="21.75" customHeight="1" x14ac:dyDescent="0.3">
      <c r="A18" s="27" t="s">
        <v>595</v>
      </c>
      <c r="B18" s="38">
        <v>709700509</v>
      </c>
      <c r="C18" s="122">
        <f>B5</f>
        <v>0.18</v>
      </c>
      <c r="D18" s="123">
        <f>709700509*B5</f>
        <v>127746091.61999999</v>
      </c>
      <c r="E18" s="124" t="s">
        <v>592</v>
      </c>
      <c r="F18" s="119">
        <f>D18</f>
        <v>127746091.61999999</v>
      </c>
      <c r="G18" s="50">
        <v>0</v>
      </c>
      <c r="H18" s="119">
        <f>D18</f>
        <v>127746091.61999999</v>
      </c>
      <c r="I18" s="125">
        <f>D18/709700509</f>
        <v>0.18</v>
      </c>
      <c r="J18" s="80" t="s">
        <v>355</v>
      </c>
      <c r="K18" s="80" t="s">
        <v>593</v>
      </c>
    </row>
    <row r="19" spans="1:11" ht="21.75" customHeight="1" x14ac:dyDescent="0.3">
      <c r="A19" s="62" t="s">
        <v>596</v>
      </c>
      <c r="B19" s="96">
        <v>10577186</v>
      </c>
      <c r="C19" s="111" t="s">
        <v>170</v>
      </c>
      <c r="D19" s="116">
        <v>0</v>
      </c>
      <c r="E19" s="67" t="s">
        <v>250</v>
      </c>
      <c r="F19" s="117">
        <f>0</f>
        <v>0</v>
      </c>
      <c r="G19" s="65">
        <v>0</v>
      </c>
      <c r="H19" s="65">
        <v>0</v>
      </c>
      <c r="I19" s="111">
        <v>0</v>
      </c>
      <c r="J19" s="127" t="s">
        <v>355</v>
      </c>
      <c r="K19" s="126" t="s">
        <v>180</v>
      </c>
    </row>
    <row r="20" spans="1:11" ht="21.75" customHeight="1" x14ac:dyDescent="0.3">
      <c r="A20" s="27" t="s">
        <v>597</v>
      </c>
      <c r="B20" s="38">
        <v>134848555</v>
      </c>
      <c r="C20" s="122">
        <f>B6</f>
        <v>7.0000000000000007E-2</v>
      </c>
      <c r="D20" s="123">
        <f>134848555*B6</f>
        <v>9439398.8500000015</v>
      </c>
      <c r="E20" s="67" t="str">
        <f>IF(B6=0,"YES","No")</f>
        <v>No</v>
      </c>
      <c r="F20" s="119">
        <f>IF(B6=0,0,134848555*B6)</f>
        <v>9439398.8500000015</v>
      </c>
      <c r="G20" s="50">
        <v>0</v>
      </c>
      <c r="H20" s="119">
        <f>IF(B6=0,0,134848555*B6)</f>
        <v>9439398.8500000015</v>
      </c>
      <c r="I20" s="125">
        <f>B6</f>
        <v>7.0000000000000007E-2</v>
      </c>
      <c r="J20" s="128" t="s">
        <v>598</v>
      </c>
      <c r="K20" s="128" t="s">
        <v>598</v>
      </c>
    </row>
    <row r="21" spans="1:11" ht="21.75" customHeight="1" x14ac:dyDescent="0.3">
      <c r="A21" s="23" t="s">
        <v>599</v>
      </c>
      <c r="B21" s="41">
        <v>134848555</v>
      </c>
      <c r="C21" s="129">
        <f>B7</f>
        <v>0</v>
      </c>
      <c r="D21" s="130">
        <f>134848555*B7</f>
        <v>0</v>
      </c>
      <c r="E21" s="67" t="str">
        <f>IF(B7=0,"YES","No")</f>
        <v>YES</v>
      </c>
      <c r="F21" s="131">
        <f>D21</f>
        <v>0</v>
      </c>
      <c r="G21" s="45">
        <v>0</v>
      </c>
      <c r="H21" s="131">
        <f>D21</f>
        <v>0</v>
      </c>
      <c r="I21" s="132">
        <f>B7</f>
        <v>0</v>
      </c>
      <c r="J21" s="133" t="s">
        <v>600</v>
      </c>
      <c r="K21" s="133" t="s">
        <v>180</v>
      </c>
    </row>
    <row r="22" spans="1:11" ht="21.75" customHeight="1" x14ac:dyDescent="0.3">
      <c r="A22" s="27" t="s">
        <v>601</v>
      </c>
      <c r="B22" s="38">
        <v>12540915.615</v>
      </c>
      <c r="C22" s="122">
        <f>B8</f>
        <v>0.05</v>
      </c>
      <c r="D22" s="123">
        <f>12540916*B8</f>
        <v>627045.80000000005</v>
      </c>
      <c r="E22" s="124" t="s">
        <v>592</v>
      </c>
      <c r="F22" s="119">
        <f>D22</f>
        <v>627045.80000000005</v>
      </c>
      <c r="G22" s="50">
        <v>0</v>
      </c>
      <c r="H22" s="119">
        <f>D22</f>
        <v>627045.80000000005</v>
      </c>
      <c r="I22" s="125">
        <f>B8</f>
        <v>0.05</v>
      </c>
      <c r="J22" s="80" t="s">
        <v>361</v>
      </c>
      <c r="K22" s="80" t="s">
        <v>361</v>
      </c>
    </row>
    <row r="23" spans="1:11" ht="21.75" customHeight="1" x14ac:dyDescent="0.3">
      <c r="A23" s="23" t="s">
        <v>602</v>
      </c>
      <c r="B23" s="41">
        <v>22987742</v>
      </c>
      <c r="C23" s="129">
        <f>B9/12</f>
        <v>1.6666666666666666E-2</v>
      </c>
      <c r="D23" s="130">
        <f>22987742*B9/12</f>
        <v>383129.03333333338</v>
      </c>
      <c r="E23" s="134" t="s">
        <v>592</v>
      </c>
      <c r="F23" s="131">
        <f>D23</f>
        <v>383129.03333333338</v>
      </c>
      <c r="G23" s="45">
        <v>0</v>
      </c>
      <c r="H23" s="131">
        <f>D23</f>
        <v>383129.03333333338</v>
      </c>
      <c r="I23" s="132">
        <f>B9/12</f>
        <v>1.6666666666666666E-2</v>
      </c>
      <c r="J23" s="133" t="s">
        <v>603</v>
      </c>
      <c r="K23" s="133" t="s">
        <v>488</v>
      </c>
    </row>
    <row r="24" spans="1:11" ht="21.75" customHeight="1" x14ac:dyDescent="0.3">
      <c r="A24" s="62" t="s">
        <v>604</v>
      </c>
      <c r="B24" s="96">
        <v>0</v>
      </c>
      <c r="C24" s="135">
        <f>B10</f>
        <v>0.03</v>
      </c>
      <c r="D24" s="136">
        <f>0*B10</f>
        <v>0</v>
      </c>
      <c r="E24" s="67" t="s">
        <v>605</v>
      </c>
      <c r="F24" s="117">
        <f>0</f>
        <v>0</v>
      </c>
      <c r="G24" s="65">
        <v>0</v>
      </c>
      <c r="H24" s="65">
        <v>0</v>
      </c>
      <c r="I24" s="111">
        <v>0</v>
      </c>
      <c r="J24" s="127" t="s">
        <v>379</v>
      </c>
      <c r="K24" s="127" t="s">
        <v>379</v>
      </c>
    </row>
    <row r="25" spans="1:11" ht="21.75" customHeight="1" x14ac:dyDescent="0.3">
      <c r="A25" s="23" t="s">
        <v>579</v>
      </c>
      <c r="B25" s="41">
        <v>134848555</v>
      </c>
      <c r="C25" s="129">
        <f>B12</f>
        <v>1.2500000000000001E-2</v>
      </c>
      <c r="D25" s="130">
        <f>134848555*B12</f>
        <v>1685606.9375</v>
      </c>
      <c r="E25" s="134" t="s">
        <v>592</v>
      </c>
      <c r="F25" s="131">
        <f>D25</f>
        <v>1685606.9375</v>
      </c>
      <c r="G25" s="45">
        <v>0</v>
      </c>
      <c r="H25" s="131">
        <f>D25</f>
        <v>1685606.9375</v>
      </c>
      <c r="I25" s="132">
        <f>B12</f>
        <v>1.2500000000000001E-2</v>
      </c>
      <c r="J25" s="84" t="s">
        <v>606</v>
      </c>
      <c r="K25" s="84" t="s">
        <v>606</v>
      </c>
    </row>
    <row r="26" spans="1:11" ht="21.75" customHeight="1" x14ac:dyDescent="0.3">
      <c r="A26" s="27" t="s">
        <v>607</v>
      </c>
      <c r="B26" s="38">
        <v>0</v>
      </c>
      <c r="C26" s="122">
        <f>B11</f>
        <v>0.1</v>
      </c>
      <c r="D26" s="123">
        <f>0*B11</f>
        <v>0</v>
      </c>
      <c r="E26" s="124" t="s">
        <v>608</v>
      </c>
      <c r="F26" s="119">
        <f>D26</f>
        <v>0</v>
      </c>
      <c r="G26" s="50">
        <v>0</v>
      </c>
      <c r="H26" s="119">
        <f>D26</f>
        <v>0</v>
      </c>
      <c r="I26" s="125">
        <f>B11</f>
        <v>0.1</v>
      </c>
      <c r="J26" s="80" t="s">
        <v>609</v>
      </c>
      <c r="K26" s="80" t="s">
        <v>609</v>
      </c>
    </row>
    <row r="27" spans="1:11" ht="15" customHeight="1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</row>
  </sheetData>
  <mergeCells count="4">
    <mergeCell ref="A1:K1"/>
    <mergeCell ref="A2:K2"/>
    <mergeCell ref="A4:D4"/>
    <mergeCell ref="A14:K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9"/>
  <sheetViews>
    <sheetView showGridLines="0" zoomScaleNormal="100" workbookViewId="0"/>
  </sheetViews>
  <sheetFormatPr defaultColWidth="8.6640625" defaultRowHeight="14.4" x14ac:dyDescent="0.3"/>
  <cols>
    <col min="1" max="4" width="45" customWidth="1"/>
  </cols>
  <sheetData>
    <row r="1" spans="1:4" ht="54.75" customHeight="1" x14ac:dyDescent="0.3">
      <c r="A1" s="3" t="s">
        <v>610</v>
      </c>
      <c r="B1" s="3"/>
      <c r="C1" s="3"/>
      <c r="D1" s="3"/>
    </row>
    <row r="3" spans="1:4" ht="15.75" customHeight="1" x14ac:dyDescent="0.3">
      <c r="A3" s="138" t="s">
        <v>611</v>
      </c>
      <c r="B3" s="138"/>
      <c r="C3" s="138"/>
      <c r="D3" s="138"/>
    </row>
    <row r="4" spans="1:4" ht="15.75" customHeight="1" x14ac:dyDescent="0.3">
      <c r="A4" s="138" t="s">
        <v>612</v>
      </c>
      <c r="B4" s="138"/>
      <c r="C4" s="138"/>
      <c r="D4" s="138"/>
    </row>
    <row r="5" spans="1:4" ht="15.75" customHeight="1" x14ac:dyDescent="0.3">
      <c r="A5" s="138"/>
      <c r="B5" s="138"/>
      <c r="C5" s="138"/>
      <c r="D5" s="138"/>
    </row>
    <row r="6" spans="1:4" ht="15.75" customHeight="1" x14ac:dyDescent="0.3">
      <c r="A6" s="139" t="s">
        <v>613</v>
      </c>
      <c r="B6" s="139"/>
      <c r="C6" s="139"/>
      <c r="D6" s="139"/>
    </row>
    <row r="7" spans="1:4" ht="15.75" customHeight="1" x14ac:dyDescent="0.3">
      <c r="A7" s="138" t="s">
        <v>614</v>
      </c>
      <c r="B7" s="138"/>
      <c r="C7" s="138"/>
      <c r="D7" s="138"/>
    </row>
    <row r="8" spans="1:4" ht="15.75" customHeight="1" x14ac:dyDescent="0.3">
      <c r="A8" s="138" t="s">
        <v>615</v>
      </c>
      <c r="B8" s="138"/>
      <c r="C8" s="138"/>
      <c r="D8" s="138"/>
    </row>
    <row r="9" spans="1:4" ht="15.75" customHeight="1" x14ac:dyDescent="0.3">
      <c r="A9" s="138"/>
      <c r="B9" s="138"/>
      <c r="C9" s="138"/>
      <c r="D9" s="138"/>
    </row>
    <row r="10" spans="1:4" ht="15.75" customHeight="1" x14ac:dyDescent="0.3">
      <c r="A10" s="139" t="s">
        <v>616</v>
      </c>
      <c r="B10" s="139"/>
      <c r="C10" s="139"/>
      <c r="D10" s="139"/>
    </row>
    <row r="11" spans="1:4" ht="15.75" customHeight="1" x14ac:dyDescent="0.3">
      <c r="A11" s="138" t="s">
        <v>617</v>
      </c>
      <c r="B11" s="138"/>
      <c r="C11" s="138"/>
      <c r="D11" s="138"/>
    </row>
    <row r="12" spans="1:4" ht="15.75" customHeight="1" x14ac:dyDescent="0.3">
      <c r="A12" s="138" t="s">
        <v>618</v>
      </c>
      <c r="B12" s="138"/>
      <c r="C12" s="138"/>
      <c r="D12" s="138"/>
    </row>
    <row r="13" spans="1:4" ht="15.75" customHeight="1" x14ac:dyDescent="0.3">
      <c r="A13" s="138" t="s">
        <v>619</v>
      </c>
      <c r="B13" s="138"/>
      <c r="C13" s="138"/>
      <c r="D13" s="138"/>
    </row>
    <row r="14" spans="1:4" ht="15.75" customHeight="1" x14ac:dyDescent="0.3">
      <c r="A14" s="138" t="s">
        <v>620</v>
      </c>
      <c r="B14" s="138"/>
      <c r="C14" s="138"/>
      <c r="D14" s="138"/>
    </row>
    <row r="15" spans="1:4" ht="15.75" customHeight="1" x14ac:dyDescent="0.3">
      <c r="A15" s="138" t="s">
        <v>621</v>
      </c>
      <c r="B15" s="138"/>
      <c r="C15" s="138"/>
      <c r="D15" s="138"/>
    </row>
    <row r="16" spans="1:4" ht="15.75" customHeight="1" x14ac:dyDescent="0.3">
      <c r="A16" s="138"/>
      <c r="B16" s="138"/>
      <c r="C16" s="138"/>
      <c r="D16" s="138"/>
    </row>
    <row r="17" spans="1:4" ht="15.75" customHeight="1" x14ac:dyDescent="0.3">
      <c r="A17" s="139" t="s">
        <v>622</v>
      </c>
      <c r="B17" s="139"/>
      <c r="C17" s="139"/>
      <c r="D17" s="139"/>
    </row>
    <row r="18" spans="1:4" ht="15.75" customHeight="1" x14ac:dyDescent="0.3">
      <c r="A18" s="138" t="s">
        <v>623</v>
      </c>
      <c r="B18" s="138"/>
      <c r="C18" s="138"/>
      <c r="D18" s="138"/>
    </row>
    <row r="19" spans="1:4" ht="15.75" customHeight="1" x14ac:dyDescent="0.3">
      <c r="A19" s="138" t="s">
        <v>624</v>
      </c>
      <c r="B19" s="138"/>
      <c r="C19" s="138"/>
      <c r="D19" s="138"/>
    </row>
    <row r="20" spans="1:4" ht="15.75" customHeight="1" x14ac:dyDescent="0.3">
      <c r="A20" s="138" t="s">
        <v>625</v>
      </c>
      <c r="B20" s="138"/>
      <c r="C20" s="138"/>
      <c r="D20" s="138"/>
    </row>
    <row r="21" spans="1:4" ht="15.75" customHeight="1" x14ac:dyDescent="0.3">
      <c r="A21" s="138" t="s">
        <v>626</v>
      </c>
      <c r="B21" s="138"/>
      <c r="C21" s="138"/>
      <c r="D21" s="138"/>
    </row>
    <row r="22" spans="1:4" ht="15.75" customHeight="1" x14ac:dyDescent="0.3">
      <c r="A22" s="138" t="s">
        <v>627</v>
      </c>
      <c r="B22" s="138"/>
      <c r="C22" s="138"/>
      <c r="D22" s="138"/>
    </row>
    <row r="23" spans="1:4" ht="15.75" customHeight="1" x14ac:dyDescent="0.3">
      <c r="A23" s="138" t="s">
        <v>628</v>
      </c>
      <c r="B23" s="138"/>
      <c r="C23" s="138"/>
      <c r="D23" s="138"/>
    </row>
    <row r="24" spans="1:4" ht="15.75" customHeight="1" x14ac:dyDescent="0.3">
      <c r="A24" s="138" t="s">
        <v>629</v>
      </c>
      <c r="B24" s="138"/>
      <c r="C24" s="138"/>
      <c r="D24" s="138"/>
    </row>
    <row r="25" spans="1:4" ht="15.75" customHeight="1" x14ac:dyDescent="0.3">
      <c r="A25" s="138" t="s">
        <v>630</v>
      </c>
      <c r="B25" s="138"/>
      <c r="C25" s="138"/>
      <c r="D25" s="138"/>
    </row>
    <row r="26" spans="1:4" ht="15.75" customHeight="1" x14ac:dyDescent="0.3">
      <c r="A26" s="138"/>
      <c r="B26" s="138"/>
      <c r="C26" s="138"/>
      <c r="D26" s="138"/>
    </row>
    <row r="27" spans="1:4" ht="15.75" customHeight="1" x14ac:dyDescent="0.3">
      <c r="A27" s="139" t="s">
        <v>631</v>
      </c>
      <c r="B27" s="139"/>
      <c r="C27" s="139"/>
      <c r="D27" s="139"/>
    </row>
    <row r="28" spans="1:4" ht="15.75" customHeight="1" x14ac:dyDescent="0.3">
      <c r="A28" s="138" t="s">
        <v>632</v>
      </c>
      <c r="B28" s="138"/>
      <c r="C28" s="138"/>
      <c r="D28" s="138"/>
    </row>
    <row r="29" spans="1:4" ht="15.75" customHeight="1" x14ac:dyDescent="0.3">
      <c r="A29" s="138" t="s">
        <v>633</v>
      </c>
      <c r="B29" s="138"/>
      <c r="C29" s="138"/>
      <c r="D29" s="138"/>
    </row>
    <row r="30" spans="1:4" ht="15.75" customHeight="1" x14ac:dyDescent="0.3">
      <c r="A30" s="138" t="s">
        <v>634</v>
      </c>
      <c r="B30" s="138"/>
      <c r="C30" s="138"/>
      <c r="D30" s="138"/>
    </row>
    <row r="31" spans="1:4" ht="15.75" customHeight="1" x14ac:dyDescent="0.3">
      <c r="A31" s="138" t="s">
        <v>635</v>
      </c>
      <c r="B31" s="138"/>
      <c r="C31" s="138"/>
      <c r="D31" s="138"/>
    </row>
    <row r="32" spans="1:4" ht="15.75" customHeight="1" x14ac:dyDescent="0.3">
      <c r="A32" s="138" t="s">
        <v>636</v>
      </c>
      <c r="B32" s="138"/>
      <c r="C32" s="138"/>
      <c r="D32" s="138"/>
    </row>
    <row r="33" spans="1:4" ht="15.75" customHeight="1" x14ac:dyDescent="0.3">
      <c r="A33" s="138" t="s">
        <v>637</v>
      </c>
      <c r="B33" s="138"/>
      <c r="C33" s="138"/>
      <c r="D33" s="138"/>
    </row>
    <row r="34" spans="1:4" ht="15.75" customHeight="1" x14ac:dyDescent="0.3">
      <c r="A34" s="138" t="s">
        <v>638</v>
      </c>
      <c r="B34" s="138"/>
      <c r="C34" s="138"/>
      <c r="D34" s="138"/>
    </row>
    <row r="35" spans="1:4" ht="15.75" customHeight="1" x14ac:dyDescent="0.3">
      <c r="A35" s="138"/>
      <c r="B35" s="138"/>
      <c r="C35" s="138"/>
      <c r="D35" s="138"/>
    </row>
    <row r="36" spans="1:4" ht="15.75" customHeight="1" x14ac:dyDescent="0.3">
      <c r="A36" s="139" t="s">
        <v>639</v>
      </c>
      <c r="B36" s="139"/>
      <c r="C36" s="139"/>
      <c r="D36" s="139"/>
    </row>
    <row r="37" spans="1:4" ht="15.75" customHeight="1" x14ac:dyDescent="0.3">
      <c r="A37" s="138" t="s">
        <v>640</v>
      </c>
      <c r="B37" s="138"/>
      <c r="C37" s="138"/>
      <c r="D37" s="138"/>
    </row>
    <row r="38" spans="1:4" ht="15.75" customHeight="1" x14ac:dyDescent="0.3">
      <c r="A38" s="138" t="s">
        <v>641</v>
      </c>
      <c r="B38" s="138"/>
      <c r="C38" s="138"/>
      <c r="D38" s="138"/>
    </row>
    <row r="39" spans="1:4" ht="15.75" customHeight="1" x14ac:dyDescent="0.3">
      <c r="A39" s="138" t="s">
        <v>642</v>
      </c>
      <c r="B39" s="138"/>
      <c r="C39" s="138"/>
      <c r="D39" s="138"/>
    </row>
    <row r="40" spans="1:4" ht="15.75" customHeight="1" x14ac:dyDescent="0.3">
      <c r="A40" s="138" t="s">
        <v>643</v>
      </c>
      <c r="B40" s="138"/>
      <c r="C40" s="138"/>
      <c r="D40" s="138"/>
    </row>
    <row r="41" spans="1:4" ht="15.75" customHeight="1" x14ac:dyDescent="0.3">
      <c r="A41" s="138" t="s">
        <v>644</v>
      </c>
      <c r="B41" s="138"/>
      <c r="C41" s="138"/>
      <c r="D41" s="138"/>
    </row>
    <row r="42" spans="1:4" ht="15.75" customHeight="1" x14ac:dyDescent="0.3">
      <c r="A42" s="138"/>
      <c r="B42" s="138"/>
      <c r="C42" s="138"/>
      <c r="D42" s="138"/>
    </row>
    <row r="43" spans="1:4" ht="15.75" customHeight="1" x14ac:dyDescent="0.3">
      <c r="A43" s="139" t="s">
        <v>645</v>
      </c>
      <c r="B43" s="139"/>
      <c r="C43" s="139"/>
      <c r="D43" s="139"/>
    </row>
    <row r="44" spans="1:4" ht="15.75" customHeight="1" x14ac:dyDescent="0.3">
      <c r="A44" s="138" t="s">
        <v>646</v>
      </c>
      <c r="B44" s="138"/>
      <c r="C44" s="138"/>
      <c r="D44" s="138"/>
    </row>
    <row r="45" spans="1:4" ht="15.75" customHeight="1" x14ac:dyDescent="0.3">
      <c r="A45" s="138" t="s">
        <v>647</v>
      </c>
      <c r="B45" s="138"/>
      <c r="C45" s="138"/>
      <c r="D45" s="138"/>
    </row>
    <row r="46" spans="1:4" ht="15.75" customHeight="1" x14ac:dyDescent="0.3">
      <c r="A46" s="138" t="s">
        <v>648</v>
      </c>
      <c r="B46" s="138"/>
      <c r="C46" s="138"/>
      <c r="D46" s="138"/>
    </row>
    <row r="47" spans="1:4" ht="15.75" customHeight="1" x14ac:dyDescent="0.3">
      <c r="A47" s="138" t="s">
        <v>649</v>
      </c>
      <c r="B47" s="138"/>
      <c r="C47" s="138"/>
      <c r="D47" s="138"/>
    </row>
    <row r="48" spans="1:4" ht="15.75" customHeight="1" x14ac:dyDescent="0.3">
      <c r="A48" s="138"/>
      <c r="B48" s="138"/>
      <c r="C48" s="138"/>
      <c r="D48" s="138"/>
    </row>
    <row r="49" spans="1:4" ht="15.75" customHeight="1" x14ac:dyDescent="0.3">
      <c r="A49" s="139" t="s">
        <v>650</v>
      </c>
      <c r="B49" s="139"/>
      <c r="C49" s="139"/>
      <c r="D49" s="139"/>
    </row>
    <row r="50" spans="1:4" ht="15.75" customHeight="1" x14ac:dyDescent="0.3">
      <c r="A50" s="138" t="s">
        <v>651</v>
      </c>
      <c r="B50" s="138"/>
      <c r="C50" s="138"/>
      <c r="D50" s="138"/>
    </row>
    <row r="51" spans="1:4" ht="15.75" customHeight="1" x14ac:dyDescent="0.3">
      <c r="A51" s="138" t="s">
        <v>652</v>
      </c>
      <c r="B51" s="138"/>
      <c r="C51" s="138"/>
      <c r="D51" s="138"/>
    </row>
    <row r="52" spans="1:4" ht="15.75" customHeight="1" x14ac:dyDescent="0.3">
      <c r="A52" s="138" t="s">
        <v>653</v>
      </c>
      <c r="B52" s="138"/>
      <c r="C52" s="138"/>
      <c r="D52" s="138"/>
    </row>
    <row r="53" spans="1:4" ht="15.75" customHeight="1" x14ac:dyDescent="0.3">
      <c r="A53" s="138" t="s">
        <v>654</v>
      </c>
      <c r="B53" s="138"/>
      <c r="C53" s="138"/>
      <c r="D53" s="138"/>
    </row>
    <row r="54" spans="1:4" ht="15.75" customHeight="1" x14ac:dyDescent="0.3">
      <c r="A54" s="138" t="s">
        <v>655</v>
      </c>
      <c r="B54" s="138"/>
      <c r="C54" s="138"/>
      <c r="D54" s="138"/>
    </row>
    <row r="55" spans="1:4" ht="15.75" customHeight="1" x14ac:dyDescent="0.3">
      <c r="A55" s="138" t="s">
        <v>656</v>
      </c>
      <c r="B55" s="138"/>
      <c r="C55" s="138"/>
      <c r="D55" s="138"/>
    </row>
    <row r="56" spans="1:4" ht="15.75" customHeight="1" x14ac:dyDescent="0.3">
      <c r="A56" s="138"/>
      <c r="B56" s="138"/>
      <c r="C56" s="138"/>
      <c r="D56" s="138"/>
    </row>
    <row r="57" spans="1:4" ht="15.75" customHeight="1" x14ac:dyDescent="0.3">
      <c r="A57" s="139" t="s">
        <v>657</v>
      </c>
      <c r="B57" s="139"/>
      <c r="C57" s="139"/>
      <c r="D57" s="139"/>
    </row>
    <row r="58" spans="1:4" ht="15.75" customHeight="1" x14ac:dyDescent="0.3">
      <c r="A58" s="138" t="s">
        <v>658</v>
      </c>
      <c r="B58" s="138"/>
      <c r="C58" s="138"/>
      <c r="D58" s="138"/>
    </row>
    <row r="59" spans="1:4" ht="15.75" customHeight="1" x14ac:dyDescent="0.3">
      <c r="A59" s="138" t="s">
        <v>659</v>
      </c>
      <c r="B59" s="138"/>
      <c r="C59" s="138"/>
      <c r="D59" s="138"/>
    </row>
  </sheetData>
  <mergeCells count="58">
    <mergeCell ref="A57:D57"/>
    <mergeCell ref="A58:D58"/>
    <mergeCell ref="A59:D59"/>
    <mergeCell ref="A52:D52"/>
    <mergeCell ref="A53:D53"/>
    <mergeCell ref="A54:D54"/>
    <mergeCell ref="A55:D55"/>
    <mergeCell ref="A56:D56"/>
    <mergeCell ref="A47:D47"/>
    <mergeCell ref="A48:D48"/>
    <mergeCell ref="A49:D49"/>
    <mergeCell ref="A50:D50"/>
    <mergeCell ref="A51:D51"/>
    <mergeCell ref="A42:D42"/>
    <mergeCell ref="A43:D43"/>
    <mergeCell ref="A44:D44"/>
    <mergeCell ref="A45:D45"/>
    <mergeCell ref="A46:D46"/>
    <mergeCell ref="A37:D37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27:D27"/>
    <mergeCell ref="A28:D28"/>
    <mergeCell ref="A29:D29"/>
    <mergeCell ref="A30:D30"/>
    <mergeCell ref="A31:D31"/>
    <mergeCell ref="A22:D22"/>
    <mergeCell ref="A23:D23"/>
    <mergeCell ref="A24:D24"/>
    <mergeCell ref="A25:D25"/>
    <mergeCell ref="A26:D26"/>
    <mergeCell ref="A17:D17"/>
    <mergeCell ref="A18:D18"/>
    <mergeCell ref="A19:D19"/>
    <mergeCell ref="A20:D20"/>
    <mergeCell ref="A21:D21"/>
    <mergeCell ref="A12:D12"/>
    <mergeCell ref="A13:D13"/>
    <mergeCell ref="A14:D14"/>
    <mergeCell ref="A15:D15"/>
    <mergeCell ref="A16:D16"/>
    <mergeCell ref="A7:D7"/>
    <mergeCell ref="A8:D8"/>
    <mergeCell ref="A9:D9"/>
    <mergeCell ref="A10:D10"/>
    <mergeCell ref="A11:D11"/>
    <mergeCell ref="A1:D1"/>
    <mergeCell ref="A3:D3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EPA CLAUSES</vt:lpstr>
      <vt:lpstr>TAX LAW REGISTER</vt:lpstr>
      <vt:lpstr>AWPPL TAX MODEL</vt:lpstr>
      <vt:lpstr>CEPL TAX MODEL</vt:lpstr>
      <vt:lpstr>INVOICE AUDIT</vt:lpstr>
      <vt:lpstr>FBR RETURN RECONCIL</vt:lpstr>
      <vt:lpstr>SCENARIO ENGINE</vt:lpstr>
      <vt:lpstr>CURSOR 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Sibtain Tahir</cp:lastModifiedBy>
  <cp:revision>0</cp:revision>
  <dcterms:created xsi:type="dcterms:W3CDTF">2026-05-13T08:43:42Z</dcterms:created>
  <dcterms:modified xsi:type="dcterms:W3CDTF">2026-05-13T09:30:44Z</dcterms:modified>
  <dc:language>en-US</dc:language>
</cp:coreProperties>
</file>